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UAT" sheetId="2" state="visible" r:id="rId2"/>
    <sheet xmlns:r="http://schemas.openxmlformats.org/officeDocument/2006/relationships" name="Sign-off" sheetId="3" state="visible" r:id="rId3"/>
    <sheet xmlns:r="http://schemas.openxmlformats.org/officeDocument/2006/relationships" name="Test data" sheetId="4" state="visible" r:id="rId4"/>
    <sheet xmlns:r="http://schemas.openxmlformats.org/officeDocument/2006/relationships" name="Defects" sheetId="5" state="visible" r:id="rId5"/>
    <sheet xmlns:r="http://schemas.openxmlformats.org/officeDocument/2006/relationships" name="Change lo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4">
    <fill>
      <patternFill/>
    </fill>
    <fill>
      <patternFill patternType="gray125"/>
    </fill>
    <fill>
      <patternFill patternType="solid">
        <fgColor rgb="001D5C6B"/>
      </patternFill>
    </fill>
    <fill>
      <patternFill patternType="solid">
        <fgColor rgb="00FFF8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dxfs count="2">
    <dxf>
      <font>
        <b val="1"/>
        <color rgb="002E7D4F"/>
      </font>
    </dxf>
    <dxf>
      <font>
        <b val="1"/>
        <color rgb="00B23A3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UAT" displayName="UAT" ref="A1:N48" headerRowCount="1">
  <autoFilter ref="A1:N48"/>
  <tableColumns count="14">
    <tableColumn id="1" name="ID"/>
    <tableColumn id="2" name="Story"/>
    <tableColumn id="3" name="Scenario"/>
    <tableColumn id="4" name="Document"/>
    <tableColumn id="5" name="State transition"/>
    <tableColumn id="6" name="Rule"/>
    <tableColumn id="7" name="Map steps"/>
    <tableColumn id="8" name="Decisions"/>
    <tableColumn id="9" name="Steps"/>
    <tableColumn id="10" name="Expected"/>
    <tableColumn id="11" name="Actual"/>
    <tableColumn id="12" name="Result"/>
    <tableColumn id="13" name="Tester role"/>
    <tableColumn id="14" name="Date"/>
  </tableColumns>
  <tableStyleInfo name="TableStyleLight1" showRowStripes="1"/>
</table>
</file>

<file path=xl/tables/table2.xml><?xml version="1.0" encoding="utf-8"?>
<table xmlns="http://schemas.openxmlformats.org/spreadsheetml/2006/main" id="2" name="SignOff" displayName="SignOff" ref="A1:L9" headerRowCount="1">
  <autoFilter ref="A1:L9"/>
  <tableColumns count="12">
    <tableColumn id="1" name="Story"/>
    <tableColumn id="2" name="Feature"/>
    <tableColumn id="3" name="Owning department"/>
    <tableColumn id="4" name="Signs"/>
    <tableColumn id="5" name="Scenarios"/>
    <tableColumn id="6" name="Passed"/>
    <tableColumn id="7" name="Failed"/>
    <tableColumn id="8" name="Open severity 1 defects"/>
    <tableColumn id="9" name="Decision"/>
    <tableColumn id="10" name="Signed by (role)"/>
    <tableColumn id="11" name="Date"/>
    <tableColumn id="12" name="Note"/>
  </tableColumns>
  <tableStyleInfo name="TableStyleLight1" showRowStripes="1"/>
</table>
</file>

<file path=xl/tables/table3.xml><?xml version="1.0" encoding="utf-8"?>
<table xmlns="http://schemas.openxmlformats.org/spreadsheetml/2006/main" id="3" name="Defects" displayName="Defects" ref="A1:J31" headerRowCount="1">
  <autoFilter ref="A1:J31"/>
  <tableColumns count="10">
    <tableColumn id="1" name="Defect"/>
    <tableColumn id="2" name="UAT row"/>
    <tableColumn id="3" name="Story"/>
    <tableColumn id="4" name="Severity"/>
    <tableColumn id="5" name="What happened"/>
    <tableColumn id="6" name="Found by (role)"/>
    <tableColumn id="7" name="Owner"/>
    <tableColumn id="8" name="Status"/>
    <tableColumn id="9" name="Date found"/>
    <tableColumn id="10" name="Date clo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0" customWidth="1" min="2" max="2"/>
  </cols>
  <sheetData>
    <row r="1">
      <c r="A1" s="1" t="inlineStr">
        <is>
          <t>Item</t>
        </is>
      </c>
      <c r="B1" s="1" t="inlineStr">
        <is>
          <t>Detail</t>
        </is>
      </c>
    </row>
    <row r="2">
      <c r="A2" s="2" t="inlineStr">
        <is>
          <t>Purpose</t>
        </is>
      </c>
      <c r="B2" s="2" t="inlineStr">
        <is>
          <t>User acceptance test script for the Tanmark Industries order-to-cash, procure-to-pay and accounting system. Tanmark Industries is fictional; every name and number is illustrative.</t>
        </is>
      </c>
    </row>
    <row r="3">
      <c r="A3" s="2" t="inlineStr">
        <is>
          <t>Version</t>
        </is>
      </c>
      <c r="B3" s="2" t="inlineStr">
        <is>
          <t>v5, 2026-09-30 (map steps per row, test data, defects)</t>
        </is>
      </c>
    </row>
    <row r="4">
      <c r="A4" s="2" t="inlineStr">
        <is>
          <t>Owner</t>
        </is>
      </c>
      <c r="B4" s="2" t="inlineStr">
        <is>
          <t>Product owner (role). Each department signs the stories it owns on the Sign-off sheet.</t>
        </is>
      </c>
    </row>
    <row r="5">
      <c r="A5" s="2" t="inlineStr">
        <is>
          <t>How to use</t>
        </is>
      </c>
      <c r="B5" s="2" t="inlineStr">
        <is>
          <t>Run each row as written. Record what happened in Actual. Choose Pass, Fail or Blocked in Result. A Fail needs a defect id in Actual.</t>
        </is>
      </c>
    </row>
    <row r="6">
      <c r="A6" s="2" t="inlineStr">
        <is>
          <t>Where rows come from</t>
        </is>
      </c>
      <c r="B6" s="2" t="inlineStr">
        <is>
          <t>Generated from stories/*.feature by uat/build_uat.py and checked against the state model (state/transitions.csv) and the after map (process/after.bpmn).</t>
        </is>
      </c>
    </row>
    <row r="7">
      <c r="A7" s="2" t="inlineStr">
        <is>
          <t>State transition</t>
        </is>
      </c>
      <c r="B7" s="2" t="inlineStr">
        <is>
          <t>The move the row exercises (from state: event, to state), the state it checks, or the move it proves refused.</t>
        </is>
      </c>
    </row>
    <row r="8">
      <c r="A8" s="2" t="inlineStr">
        <is>
          <t>Not tested as a row</t>
        </is>
      </c>
      <c r="B8" s="2" t="inlineStr">
        <is>
          <t>Refused moves in the model that no row tests: delivery-trip, Delivered: edit times or quantities; delivery-trip, Planned: edit when the order is closed; sales-order, Completed: edit; sales-order, Receiving and shipping: cancel. A choice, not a gap: each is enforced by the same rule as a tested move.</t>
        </is>
      </c>
    </row>
    <row r="9">
      <c r="A9" s="2" t="inlineStr">
        <is>
          <t>Shaded cells</t>
        </is>
      </c>
      <c r="B9" s="2" t="inlineStr">
        <is>
          <t>Cells shaded pale yellow are for the tester. Everything else is generated, including the suggested tester role, which the tester may change.</t>
        </is>
      </c>
    </row>
    <row r="10">
      <c r="A10" s="2" t="inlineStr">
        <is>
          <t>Map steps</t>
        </is>
      </c>
      <c r="B10" s="2" t="inlineStr">
        <is>
          <t>Each row names the step on process/after.bpmn that makes its move, or, for a state or a refusal, the steps that move the document on from that state.</t>
        </is>
      </c>
    </row>
    <row r="11">
      <c r="A11" s="2" t="inlineStr">
        <is>
          <t>Test data</t>
        </is>
      </c>
      <c r="B11" s="2" t="inlineStr">
        <is>
          <t>Every record the rows use, the states they start it in, and the rows that use it: load these before testing.</t>
        </is>
      </c>
    </row>
    <row r="12">
      <c r="A12" s="2" t="inlineStr">
        <is>
          <t>Defects</t>
        </is>
      </c>
      <c r="B12" s="2" t="inlineStr">
        <is>
          <t>One row per defect, tied to a UAT row. Severity 1 blocks a process or breaks a rule; 2 works with a workaround; 3 is cosmetic. An open severity 1 defect stops the go-live (cutover plan, criterion 2), and the Sign-off sheet counts them per story.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2" customWidth="1" min="3" max="3"/>
    <col width="14" customWidth="1" min="4" max="4"/>
    <col width="30" customWidth="1" min="5" max="5"/>
    <col width="6" customWidth="1" min="6" max="6"/>
    <col width="14" customWidth="1" min="7" max="7"/>
    <col width="9" customWidth="1" min="8" max="8"/>
    <col width="52" customWidth="1" min="9" max="9"/>
    <col width="44" customWidth="1" min="10" max="10"/>
    <col width="26" customWidth="1" min="11" max="11"/>
    <col width="10" customWidth="1" min="12" max="12"/>
    <col width="16" customWidth="1" min="13" max="13"/>
    <col width="12" customWidth="1" min="14" max="14"/>
  </cols>
  <sheetData>
    <row r="1">
      <c r="A1" s="1" t="inlineStr">
        <is>
          <t>ID</t>
        </is>
      </c>
      <c r="B1" s="1" t="inlineStr">
        <is>
          <t>Story</t>
        </is>
      </c>
      <c r="C1" s="1" t="inlineStr">
        <is>
          <t>Scenario</t>
        </is>
      </c>
      <c r="D1" s="1" t="inlineStr">
        <is>
          <t>Document</t>
        </is>
      </c>
      <c r="E1" s="1" t="inlineStr">
        <is>
          <t>State transition</t>
        </is>
      </c>
      <c r="F1" s="1" t="inlineStr">
        <is>
          <t>Rule</t>
        </is>
      </c>
      <c r="G1" s="1" t="inlineStr">
        <is>
          <t>Map steps</t>
        </is>
      </c>
      <c r="H1" s="1" t="inlineStr">
        <is>
          <t>Decisions</t>
        </is>
      </c>
      <c r="I1" s="1" t="inlineStr">
        <is>
          <t>Steps</t>
        </is>
      </c>
      <c r="J1" s="1" t="inlineStr">
        <is>
          <t>Expected</t>
        </is>
      </c>
      <c r="K1" s="1" t="inlineStr">
        <is>
          <t>Actual</t>
        </is>
      </c>
      <c r="L1" s="1" t="inlineStr">
        <is>
          <t>Result</t>
        </is>
      </c>
      <c r="M1" s="1" t="inlineStr">
        <is>
          <t>Tester role</t>
        </is>
      </c>
      <c r="N1" s="1" t="inlineStr">
        <is>
          <t>Date</t>
        </is>
      </c>
    </row>
    <row r="2">
      <c r="A2" s="2" t="inlineStr">
        <is>
          <t>UAT-01</t>
        </is>
      </c>
      <c r="B2" s="2" t="inlineStr">
        <is>
          <t>delivery-trip</t>
        </is>
      </c>
      <c r="C2" s="2" t="inlineStr">
        <is>
          <t>The warehouse issues exactly the planned quantity</t>
        </is>
      </c>
      <c r="D2" s="2" t="inlineStr">
        <is>
          <t>delivery-trip</t>
        </is>
      </c>
      <c r="E2" s="2" t="inlineStr">
        <is>
          <t>Planned: issue, to Issued</t>
        </is>
      </c>
      <c r="F2" s="2" t="inlineStr">
        <is>
          <t>R5</t>
        </is>
      </c>
      <c r="G2" s="2" t="inlineStr">
        <is>
          <t>T16</t>
        </is>
      </c>
      <c r="H2" s="2" t="inlineStr">
        <is>
          <t>D14, D15, D16</t>
        </is>
      </c>
      <c r="I2" s="2" t="inlineStr">
        <is>
          <t>Given order "SO-2050" is "Receiving and shipping"
And trip "TR-118" is planned to deliver 5 of "Container C-20" for it
When the warehouse keeper issues 5 of "Container C-20" to trip "TR-118"</t>
        </is>
      </c>
      <c r="J2" s="2" t="inlineStr">
        <is>
          <t>Then trip "TR-118" shows the state "Issued"
And stock of "Container C-20" falls by 5
And the issue form downloads with its form number</t>
        </is>
      </c>
      <c r="K2" s="3" t="inlineStr"/>
      <c r="L2" s="3" t="inlineStr"/>
      <c r="M2" s="3" t="inlineStr">
        <is>
          <t>Warehouse keeper</t>
        </is>
      </c>
      <c r="N2" s="3" t="inlineStr"/>
    </row>
    <row r="3">
      <c r="A3" s="2" t="inlineStr">
        <is>
          <t>UAT-02</t>
        </is>
      </c>
      <c r="B3" s="2" t="inlineStr">
        <is>
          <t>delivery-trip</t>
        </is>
      </c>
      <c r="C3" s="2" t="inlineStr">
        <is>
          <t>The trip leaves once it is issued</t>
        </is>
      </c>
      <c r="D3" s="2" t="inlineStr">
        <is>
          <t>delivery-trip</t>
        </is>
      </c>
      <c r="E3" s="2" t="inlineStr">
        <is>
          <t>Issued: dispatch, to In transit</t>
        </is>
      </c>
      <c r="F3" s="2" t="inlineStr">
        <is>
          <t>R9</t>
        </is>
      </c>
      <c r="G3" s="2" t="inlineStr">
        <is>
          <t>T17</t>
        </is>
      </c>
      <c r="H3" s="2" t="inlineStr">
        <is>
          <t>D14, D15, D16</t>
        </is>
      </c>
      <c r="I3" s="2" t="inlineStr">
        <is>
          <t>Given order "SO-2050" is "Receiving and shipping"
And trip "TR-118" is planned to deliver 5 of "Container C-20" for it
Given trip "TR-118" is "Issued"
And its invoice "INV-390" is "Raised"
When the logistics coordinator dispatches the trip with a departure time</t>
        </is>
      </c>
      <c r="J3" s="2" t="inlineStr">
        <is>
          <t>Then trip "TR-118" shows the state "In transit"</t>
        </is>
      </c>
      <c r="K3" s="3" t="inlineStr"/>
      <c r="L3" s="3" t="inlineStr"/>
      <c r="M3" s="3" t="inlineStr">
        <is>
          <t>Logistics coordinator</t>
        </is>
      </c>
      <c r="N3" s="3" t="inlineStr"/>
    </row>
    <row r="4">
      <c r="A4" s="2" t="inlineStr">
        <is>
          <t>UAT-03</t>
        </is>
      </c>
      <c r="B4" s="2" t="inlineStr">
        <is>
          <t>delivery-trip</t>
        </is>
      </c>
      <c r="C4" s="2" t="inlineStr">
        <is>
          <t>A delivered trip is read-only</t>
        </is>
      </c>
      <c r="D4" s="2" t="inlineStr">
        <is>
          <t>delivery-trip</t>
        </is>
      </c>
      <c r="E4" s="2" t="inlineStr">
        <is>
          <t>In transit: confirm delivery, to Delivered</t>
        </is>
      </c>
      <c r="F4" s="2" t="inlineStr">
        <is>
          <t>R4</t>
        </is>
      </c>
      <c r="G4" s="2" t="inlineStr">
        <is>
          <t>T10, T16, T11, T17</t>
        </is>
      </c>
      <c r="H4" s="2" t="inlineStr">
        <is>
          <t>D14, D15, D16</t>
        </is>
      </c>
      <c r="I4" s="2" t="inlineStr">
        <is>
          <t>Given order "SO-2050" is "Receiving and shipping"
And trip "TR-118" is planned to deliver 5 of "Container C-20" for it
Given trip "TR-118" is "In transit"
When the logistics coordinator confirms delivery with an arrival time</t>
        </is>
      </c>
      <c r="J4" s="2" t="inlineStr">
        <is>
          <t>Then trip "TR-118" shows the state "Delivered"
And its times and quantities can no longer be changed</t>
        </is>
      </c>
      <c r="K4" s="3" t="inlineStr"/>
      <c r="L4" s="3" t="inlineStr"/>
      <c r="M4" s="3" t="inlineStr">
        <is>
          <t>Logistics coordinator</t>
        </is>
      </c>
      <c r="N4" s="3" t="inlineStr"/>
    </row>
    <row r="5">
      <c r="A5" s="2" t="inlineStr">
        <is>
          <t>UAT-04</t>
        </is>
      </c>
      <c r="B5" s="2" t="inlineStr">
        <is>
          <t>delivery-trip</t>
        </is>
      </c>
      <c r="C5" s="2" t="inlineStr">
        <is>
          <t>The warehouse cannot issue a different quantity</t>
        </is>
      </c>
      <c r="D5" s="2" t="inlineStr">
        <is>
          <t>delivery-trip</t>
        </is>
      </c>
      <c r="E5" s="2" t="inlineStr">
        <is>
          <t>refused in Planned: issue a different quantity</t>
        </is>
      </c>
      <c r="F5" s="2" t="inlineStr">
        <is>
          <t>R5</t>
        </is>
      </c>
      <c r="G5" s="2" t="inlineStr">
        <is>
          <t>T16</t>
        </is>
      </c>
      <c r="H5" s="2" t="inlineStr">
        <is>
          <t>D14, D15, D16</t>
        </is>
      </c>
      <c r="I5" s="2" t="inlineStr">
        <is>
          <t>Given order "SO-2050" is "Receiving and shipping"
And trip "TR-118" is planned to deliver 5 of "Container C-20" for it
When the warehouse keeper tries to issue 4 of "Container C-20" to trip "TR-118"</t>
        </is>
      </c>
      <c r="J5" s="2" t="inlineStr">
        <is>
          <t>Then the issue is refused
And the warehouse keeper sees "Issue exactly the plan, or revise the plan first."</t>
        </is>
      </c>
      <c r="K5" s="3" t="inlineStr"/>
      <c r="L5" s="3" t="inlineStr"/>
      <c r="M5" s="3" t="inlineStr">
        <is>
          <t>Warehouse keeper</t>
        </is>
      </c>
      <c r="N5" s="3" t="inlineStr"/>
    </row>
    <row r="6">
      <c r="A6" s="2" t="inlineStr">
        <is>
          <t>UAT-05</t>
        </is>
      </c>
      <c r="B6" s="2" t="inlineStr">
        <is>
          <t>delivery-trip</t>
        </is>
      </c>
      <c r="C6" s="2" t="inlineStr">
        <is>
          <t>A numbered issue form cannot exist before the goods are issued</t>
        </is>
      </c>
      <c r="D6" s="2" t="inlineStr">
        <is>
          <t>delivery-trip</t>
        </is>
      </c>
      <c r="E6" s="2" t="inlineStr">
        <is>
          <t>refused in Planned: download numbered form</t>
        </is>
      </c>
      <c r="F6" s="2" t="inlineStr">
        <is>
          <t>R8</t>
        </is>
      </c>
      <c r="G6" s="2" t="inlineStr">
        <is>
          <t>T16</t>
        </is>
      </c>
      <c r="H6" s="2" t="inlineStr">
        <is>
          <t>D14, D15, D16</t>
        </is>
      </c>
      <c r="I6" s="2" t="inlineStr">
        <is>
          <t>Given order "SO-2050" is "Receiving and shipping"
And trip "TR-118" is planned to deliver 5 of "Container C-20" for it
Given trip "TR-118" is "Planned"
When the warehouse keeper tries to download the numbered issue form</t>
        </is>
      </c>
      <c r="J6" s="2" t="inlineStr">
        <is>
          <t>Then the download is refused
And the warehouse keeper sees "No stock has moved yet. Preview the draft form; its number is given when the goods are issued."</t>
        </is>
      </c>
      <c r="K6" s="3" t="inlineStr"/>
      <c r="L6" s="3" t="inlineStr"/>
      <c r="M6" s="3" t="inlineStr">
        <is>
          <t>Warehouse keeper</t>
        </is>
      </c>
      <c r="N6" s="3" t="inlineStr"/>
    </row>
    <row r="7">
      <c r="A7" s="2" t="inlineStr">
        <is>
          <t>UAT-06</t>
        </is>
      </c>
      <c r="B7" s="2" t="inlineStr">
        <is>
          <t>delivery-trip</t>
        </is>
      </c>
      <c r="C7" s="2" t="inlineStr">
        <is>
          <t>A trip cannot leave without its invoice</t>
        </is>
      </c>
      <c r="D7" s="2" t="inlineStr">
        <is>
          <t>delivery-trip</t>
        </is>
      </c>
      <c r="E7" s="2" t="inlineStr">
        <is>
          <t>refused in Issued: dispatch without an invoice</t>
        </is>
      </c>
      <c r="F7" s="2" t="inlineStr">
        <is>
          <t>R9</t>
        </is>
      </c>
      <c r="G7" s="2" t="inlineStr">
        <is>
          <t>T17</t>
        </is>
      </c>
      <c r="H7" s="2" t="inlineStr">
        <is>
          <t>D14, D15, D16</t>
        </is>
      </c>
      <c r="I7" s="2" t="inlineStr">
        <is>
          <t>Given order "SO-2050" is "Receiving and shipping"
And trip "TR-118" is planned to deliver 5 of "Container C-20" for it
Given trip "TR-118" is "Issued"
And no invoice has been raised for it
When the logistics coordinator tries to dispatch the trip</t>
        </is>
      </c>
      <c r="J7" s="2" t="inlineStr">
        <is>
          <t>Then the dispatch is refused
And the coordinator sees "Goods leave only with their invoice. Raise the trip's invoice first."</t>
        </is>
      </c>
      <c r="K7" s="3" t="inlineStr"/>
      <c r="L7" s="3" t="inlineStr"/>
      <c r="M7" s="3" t="inlineStr">
        <is>
          <t>Logistics coordinator</t>
        </is>
      </c>
      <c r="N7" s="3" t="inlineStr"/>
    </row>
    <row r="8">
      <c r="A8" s="2" t="inlineStr">
        <is>
          <t>UAT-07</t>
        </is>
      </c>
      <c r="B8" s="2" t="inlineStr">
        <is>
          <t>material-request</t>
        </is>
      </c>
      <c r="C8" s="2" t="inlineStr">
        <is>
          <t>A numbered issue form cannot exist before the materials are issued</t>
        </is>
      </c>
      <c r="D8" s="2" t="inlineStr">
        <is>
          <t>material-request</t>
        </is>
      </c>
      <c r="E8" s="2" t="inlineStr">
        <is>
          <t>refused in Open: download numbered form</t>
        </is>
      </c>
      <c r="F8" s="2" t="inlineStr">
        <is>
          <t>R8</t>
        </is>
      </c>
      <c r="G8" s="2" t="inlineStr">
        <is>
          <t>T7</t>
        </is>
      </c>
      <c r="H8" s="2" t="inlineStr">
        <is>
          <t>D6, D15</t>
        </is>
      </c>
      <c r="I8" s="2" t="inlineStr">
        <is>
          <t>Given order "SO-2070" for 300 steel drums is "In production"
And material request "MR-310" for it asks for 400 kg of "Steel sheet 1.2 mm"
And the factory manager is assigned to "MR-310"
Given material request "MR-310" is "Open"
When the warehouse keeper tries to download the numbered issue form</t>
        </is>
      </c>
      <c r="J8" s="2" t="inlineStr">
        <is>
          <t>Then the download is refused
And the warehouse keeper sees "No stock has moved yet. Preview the draft form; its number is given when the materials are issued."</t>
        </is>
      </c>
      <c r="K8" s="3" t="inlineStr"/>
      <c r="L8" s="3" t="inlineStr"/>
      <c r="M8" s="3" t="inlineStr">
        <is>
          <t>Warehouse keeper</t>
        </is>
      </c>
      <c r="N8" s="3" t="inlineStr"/>
    </row>
    <row r="9">
      <c r="A9" s="2" t="inlineStr">
        <is>
          <t>UAT-08</t>
        </is>
      </c>
      <c r="B9" s="2" t="inlineStr">
        <is>
          <t>material-request</t>
        </is>
      </c>
      <c r="C9" s="2" t="inlineStr">
        <is>
          <t>The first issue starts the request</t>
        </is>
      </c>
      <c r="D9" s="2" t="inlineStr">
        <is>
          <t>material-request</t>
        </is>
      </c>
      <c r="E9" s="2" t="inlineStr">
        <is>
          <t>Open: issue first materials, to Issuing</t>
        </is>
      </c>
      <c r="F9" s="2" t="inlineStr">
        <is>
          <t>R8</t>
        </is>
      </c>
      <c r="G9" s="2" t="inlineStr">
        <is>
          <t>T7</t>
        </is>
      </c>
      <c r="H9" s="2" t="inlineStr">
        <is>
          <t>D6, D15</t>
        </is>
      </c>
      <c r="I9" s="2" t="inlineStr">
        <is>
          <t>Given order "SO-2070" for 300 steel drums is "In production"
And material request "MR-310" for it asks for 400 kg of "Steel sheet 1.2 mm"
And the factory manager is assigned to "MR-310"
Given material request "MR-310" is "Open"
When the warehouse keeper issues 250 kg to the drum workshop</t>
        </is>
      </c>
      <c r="J9" s="2" t="inlineStr">
        <is>
          <t>Then "MR-310" shows the state "Issuing"
And stock of "Steel sheet 1.2 mm" falls by 250 kg
And the issue form downloads with its form number</t>
        </is>
      </c>
      <c r="K9" s="3" t="inlineStr"/>
      <c r="L9" s="3" t="inlineStr"/>
      <c r="M9" s="3" t="inlineStr">
        <is>
          <t>Warehouse keeper</t>
        </is>
      </c>
      <c r="N9" s="3" t="inlineStr"/>
    </row>
    <row r="10">
      <c r="A10" s="2" t="inlineStr">
        <is>
          <t>UAT-09</t>
        </is>
      </c>
      <c r="B10" s="2" t="inlineStr">
        <is>
          <t>material-request</t>
        </is>
      </c>
      <c r="C10" s="2" t="inlineStr">
        <is>
          <t>A second issue gets its own form</t>
        </is>
      </c>
      <c r="D10" s="2" t="inlineStr">
        <is>
          <t>material-request</t>
        </is>
      </c>
      <c r="E10" s="2" t="inlineStr">
        <is>
          <t>Issuing: issue more materials, to Issuing</t>
        </is>
      </c>
      <c r="F10" s="2" t="inlineStr">
        <is>
          <t>R8</t>
        </is>
      </c>
      <c r="G10" s="2" t="inlineStr">
        <is>
          <t>T4, T7</t>
        </is>
      </c>
      <c r="H10" s="2" t="inlineStr">
        <is>
          <t>D6, D15</t>
        </is>
      </c>
      <c r="I10" s="2" t="inlineStr">
        <is>
          <t>Given order "SO-2070" for 300 steel drums is "In production"
And material request "MR-310" for it asks for 400 kg of "Steel sheet 1.2 mm"
And the factory manager is assigned to "MR-310"
Given material request "MR-310" is "Issuing" with 150 kg still open
When the warehouse keeper issues 100 kg to the drum workshop</t>
        </is>
      </c>
      <c r="J10" s="2" t="inlineStr">
        <is>
          <t>Then "MR-310" still shows the state "Issuing"
And a new issue form downloads with its own form number</t>
        </is>
      </c>
      <c r="K10" s="3" t="inlineStr"/>
      <c r="L10" s="3" t="inlineStr"/>
      <c r="M10" s="3" t="inlineStr">
        <is>
          <t>Warehouse keeper</t>
        </is>
      </c>
      <c r="N10" s="3" t="inlineStr"/>
    </row>
    <row r="11">
      <c r="A11" s="2" t="inlineStr">
        <is>
          <t>UAT-10</t>
        </is>
      </c>
      <c r="B11" s="2" t="inlineStr">
        <is>
          <t>material-request</t>
        </is>
      </c>
      <c r="C11" s="2" t="inlineStr">
        <is>
          <t>The last issue completes the request</t>
        </is>
      </c>
      <c r="D11" s="2" t="inlineStr">
        <is>
          <t>material-request</t>
        </is>
      </c>
      <c r="E11" s="2" t="inlineStr">
        <is>
          <t>Issuing: issue last materials, to Completed</t>
        </is>
      </c>
      <c r="F11" s="2" t="inlineStr">
        <is>
          <t>R8</t>
        </is>
      </c>
      <c r="G11" s="2" t="inlineStr">
        <is>
          <t>T4, T7</t>
        </is>
      </c>
      <c r="H11" s="2" t="inlineStr">
        <is>
          <t>D6, D15</t>
        </is>
      </c>
      <c r="I11" s="2" t="inlineStr">
        <is>
          <t>Given order "SO-2070" for 300 steel drums is "In production"
And material request "MR-310" for it asks for 400 kg of "Steel sheet 1.2 mm"
And the factory manager is assigned to "MR-310"
Given material request "MR-310" is "Issuing" with 50 kg still open
When the warehouse keeper issues the last 50 kg</t>
        </is>
      </c>
      <c r="J11" s="2" t="inlineStr">
        <is>
          <t>Then "MR-310" shows the state "Completed"</t>
        </is>
      </c>
      <c r="K11" s="3" t="inlineStr"/>
      <c r="L11" s="3" t="inlineStr"/>
      <c r="M11" s="3" t="inlineStr">
        <is>
          <t>Warehouse keeper</t>
        </is>
      </c>
      <c r="N11" s="3" t="inlineStr"/>
    </row>
    <row r="12">
      <c r="A12" s="2" t="inlineStr">
        <is>
          <t>UAT-11</t>
        </is>
      </c>
      <c r="B12" s="2" t="inlineStr">
        <is>
          <t>material-request</t>
        </is>
      </c>
      <c r="C12" s="2" t="inlineStr">
        <is>
          <t>A request that has issued materials cannot be cancelled</t>
        </is>
      </c>
      <c r="D12" s="2" t="inlineStr">
        <is>
          <t>material-request</t>
        </is>
      </c>
      <c r="E12" s="2" t="inlineStr">
        <is>
          <t>refused in Issuing: cancel</t>
        </is>
      </c>
      <c r="F12" s="2" t="inlineStr">
        <is>
          <t>R3</t>
        </is>
      </c>
      <c r="G12" s="2" t="inlineStr">
        <is>
          <t>T4, T7</t>
        </is>
      </c>
      <c r="H12" s="2" t="inlineStr">
        <is>
          <t>D6, D15</t>
        </is>
      </c>
      <c r="I12" s="2" t="inlineStr">
        <is>
          <t>Given order "SO-2070" for 300 steel drums is "In production"
And material request "MR-310" for it asks for 400 kg of "Steel sheet 1.2 mm"
And the factory manager is assigned to "MR-310"
Given material request "MR-310" is "Issuing"
When the factory manager tries to cancel it</t>
        </is>
      </c>
      <c r="J12" s="2" t="inlineStr">
        <is>
          <t>Then the cancellation is refused
And the factory manager sees "Materials have left the warehouse. Complete the request, or close the order as Not completed."</t>
        </is>
      </c>
      <c r="K12" s="3" t="inlineStr"/>
      <c r="L12" s="3" t="inlineStr"/>
      <c r="M12" s="3" t="inlineStr">
        <is>
          <t>Factory manager</t>
        </is>
      </c>
      <c r="N12" s="3" t="inlineStr"/>
    </row>
    <row r="13">
      <c r="A13" s="2" t="inlineStr">
        <is>
          <t>UAT-12</t>
        </is>
      </c>
      <c r="B13" s="2" t="inlineStr">
        <is>
          <t>material-request</t>
        </is>
      </c>
      <c r="C13" s="2" t="inlineStr">
        <is>
          <t>A request with nothing issued can be cancelled, and is kept</t>
        </is>
      </c>
      <c r="D13" s="2" t="inlineStr">
        <is>
          <t>material-request</t>
        </is>
      </c>
      <c r="E13" s="2" t="inlineStr">
        <is>
          <t>Open: cancel, to Cancelled</t>
        </is>
      </c>
      <c r="F13" s="2" t="inlineStr">
        <is>
          <t>R1</t>
        </is>
      </c>
      <c r="G13" s="2" t="inlineStr">
        <is>
          <t>T4, T7</t>
        </is>
      </c>
      <c r="H13" s="2" t="inlineStr">
        <is>
          <t>D6, D15</t>
        </is>
      </c>
      <c r="I13" s="2" t="inlineStr">
        <is>
          <t>Given order "SO-2070" for 300 steel drums is "In production"
And material request "MR-310" for it asks for 400 kg of "Steel sheet 1.2 mm"
And the factory manager is assigned to "MR-310"
Given material request "MR-311" is "Open" and nothing has been issued against it
When the factory manager cancels it</t>
        </is>
      </c>
      <c r="J13" s="2" t="inlineStr">
        <is>
          <t>Then "MR-311" shows the state "Cancelled"
And it keeps its number</t>
        </is>
      </c>
      <c r="K13" s="3" t="inlineStr"/>
      <c r="L13" s="3" t="inlineStr"/>
      <c r="M13" s="3" t="inlineStr">
        <is>
          <t>Factory manager</t>
        </is>
      </c>
      <c r="N13" s="3" t="inlineStr"/>
    </row>
    <row r="14">
      <c r="A14" s="2" t="inlineStr">
        <is>
          <t>UAT-13</t>
        </is>
      </c>
      <c r="B14" s="2" t="inlineStr">
        <is>
          <t>order-closure</t>
        </is>
      </c>
      <c r="C14" s="2" t="inlineStr">
        <is>
          <t>An open order can be cancelled</t>
        </is>
      </c>
      <c r="D14" s="2" t="inlineStr">
        <is>
          <t>sales-order</t>
        </is>
      </c>
      <c r="E14" s="2" t="inlineStr">
        <is>
          <t>Open: cancel, to Cancelled</t>
        </is>
      </c>
      <c r="F14" s="2" t="inlineStr">
        <is>
          <t>R1</t>
        </is>
      </c>
      <c r="G14" s="2" t="inlineStr">
        <is>
          <t>G0, T14, G3, T15</t>
        </is>
      </c>
      <c r="H14" s="2" t="inlineStr">
        <is>
          <t>D6, D10</t>
        </is>
      </c>
      <c r="I14" s="2" t="inlineStr">
        <is>
          <t>Given order "SO-2040" is "Open"
When the sales manager cancels it</t>
        </is>
      </c>
      <c r="J14" s="2" t="inlineStr">
        <is>
          <t>Then it shows the state "Cancelled"
And order "SO-2040" can still be found and read</t>
        </is>
      </c>
      <c r="K14" s="3" t="inlineStr"/>
      <c r="L14" s="3" t="inlineStr"/>
      <c r="M14" s="3" t="inlineStr">
        <is>
          <t>Sales staff; Sales manager</t>
        </is>
      </c>
      <c r="N14" s="3" t="inlineStr"/>
    </row>
    <row r="15">
      <c r="A15" s="2" t="inlineStr">
        <is>
          <t>UAT-14</t>
        </is>
      </c>
      <c r="B15" s="2" t="inlineStr">
        <is>
          <t>order-closure</t>
        </is>
      </c>
      <c r="C15" s="2" t="inlineStr">
        <is>
          <t>An order in production closes as not completed</t>
        </is>
      </c>
      <c r="D15" s="2" t="inlineStr">
        <is>
          <t>sales-order</t>
        </is>
      </c>
      <c r="E15" s="2" t="inlineStr">
        <is>
          <t>In production: close as not completed, to Not completed</t>
        </is>
      </c>
      <c r="F15" s="2" t="inlineStr">
        <is>
          <t>R3</t>
        </is>
      </c>
      <c r="G15" s="2" t="inlineStr">
        <is>
          <t>T15</t>
        </is>
      </c>
      <c r="H15" s="2" t="inlineStr">
        <is>
          <t>D6, D10</t>
        </is>
      </c>
      <c r="I15" s="2" t="inlineStr">
        <is>
          <t>Given order "SO-2041" is "In production"
And 4 of its 10 tank bodies have been received into stock
When the sales manager closes it as not completed</t>
        </is>
      </c>
      <c r="J15" s="2" t="inlineStr">
        <is>
          <t>Then it shows the state "Not completed"
And the 4 received assemblies stay in stock
And the 6 not yet made drop out of open demand</t>
        </is>
      </c>
      <c r="K15" s="3" t="inlineStr"/>
      <c r="L15" s="3" t="inlineStr"/>
      <c r="M15" s="3" t="inlineStr">
        <is>
          <t>Sales manager</t>
        </is>
      </c>
      <c r="N15" s="3" t="inlineStr"/>
    </row>
    <row r="16">
      <c r="A16" s="2" t="inlineStr">
        <is>
          <t>UAT-15</t>
        </is>
      </c>
      <c r="B16" s="2" t="inlineStr">
        <is>
          <t>order-closure</t>
        </is>
      </c>
      <c r="C16" s="2" t="inlineStr">
        <is>
          <t>Nothing is removed when an order closes</t>
        </is>
      </c>
      <c r="D16" s="2" t="inlineStr">
        <is>
          <t>sales-order</t>
        </is>
      </c>
      <c r="E16" s="2" t="inlineStr">
        <is>
          <t>in state: Cancelled</t>
        </is>
      </c>
      <c r="F16" s="2" t="inlineStr">
        <is>
          <t>R1</t>
        </is>
      </c>
      <c r="G16" s="2" t="inlineStr">
        <is>
          <t>G0, T14, G3, T15</t>
        </is>
      </c>
      <c r="H16" s="2" t="inlineStr">
        <is>
          <t>D6, D10</t>
        </is>
      </c>
      <c r="I16" s="2" t="inlineStr">
        <is>
          <t>Given order "SO-2040" is "Cancelled"
When anyone searches for order "SO-2040"</t>
        </is>
      </c>
      <c r="J16" s="2" t="inlineStr">
        <is>
          <t>Then the order is found with its history</t>
        </is>
      </c>
      <c r="K16" s="3" t="inlineStr"/>
      <c r="L16" s="3" t="inlineStr"/>
      <c r="M16" s="3" t="inlineStr"/>
      <c r="N16" s="3" t="inlineStr"/>
    </row>
    <row r="17">
      <c r="A17" s="2" t="inlineStr">
        <is>
          <t>UAT-16</t>
        </is>
      </c>
      <c r="B17" s="2" t="inlineStr">
        <is>
          <t>order-closure</t>
        </is>
      </c>
      <c r="C17" s="2" t="inlineStr">
        <is>
          <t>An order in production cannot be cancelled</t>
        </is>
      </c>
      <c r="D17" s="2" t="inlineStr">
        <is>
          <t>sales-order</t>
        </is>
      </c>
      <c r="E17" s="2" t="inlineStr">
        <is>
          <t>refused in In production: cancel</t>
        </is>
      </c>
      <c r="F17" s="2" t="inlineStr">
        <is>
          <t>R3</t>
        </is>
      </c>
      <c r="G17" s="2" t="inlineStr">
        <is>
          <t>T15, T9</t>
        </is>
      </c>
      <c r="H17" s="2" t="inlineStr">
        <is>
          <t>D6, D10</t>
        </is>
      </c>
      <c r="I17" s="2" t="inlineStr">
        <is>
          <t>Given order "SO-2041" is "In production"
When the sales manager tries to cancel it</t>
        </is>
      </c>
      <c r="J17" s="2" t="inlineStr">
        <is>
          <t>Then the cancellation is refused
And the sales manager sees "Production has started. Close the order as Not completed instead."
And order "SO-2041" still shows the state "In production"</t>
        </is>
      </c>
      <c r="K17" s="3" t="inlineStr"/>
      <c r="L17" s="3" t="inlineStr"/>
      <c r="M17" s="3" t="inlineStr">
        <is>
          <t>Sales manager</t>
        </is>
      </c>
      <c r="N17" s="3" t="inlineStr"/>
    </row>
    <row r="18">
      <c r="A18" s="2" t="inlineStr">
        <is>
          <t>UAT-17</t>
        </is>
      </c>
      <c r="B18" s="2" t="inlineStr">
        <is>
          <t>order-lifecycle</t>
        </is>
      </c>
      <c r="C18" s="2" t="inlineStr">
        <is>
          <t>A saved request does not start fulfilment</t>
        </is>
      </c>
      <c r="D18" s="2" t="inlineStr">
        <is>
          <t>sales-order</t>
        </is>
      </c>
      <c r="E18" s="2" t="inlineStr">
        <is>
          <t>in state: Request</t>
        </is>
      </c>
      <c r="F18" s="2" t="inlineStr">
        <is>
          <t>none</t>
        </is>
      </c>
      <c r="G18" s="2" t="inlineStr">
        <is>
          <t>T2, T18</t>
        </is>
      </c>
      <c r="H18" s="2" t="inlineStr">
        <is>
          <t>D5, D7, D17</t>
        </is>
      </c>
      <c r="I18" s="2" t="inlineStr">
        <is>
          <t>Given customer "C-104" is on file
And "Steel drum D-200" is a product Tanmark sells
Given Sam saves an order request for 6 of "Steel drum D-200" for customer "C-104"
When logistics opens its work list</t>
        </is>
      </c>
      <c r="J18" s="2" t="inlineStr">
        <is>
          <t>Then the request is not on it
And the request shows the state "Request"</t>
        </is>
      </c>
      <c r="K18" s="3" t="inlineStr"/>
      <c r="L18" s="3" t="inlineStr"/>
      <c r="M18" s="3" t="inlineStr"/>
      <c r="N18" s="3" t="inlineStr"/>
    </row>
    <row r="19">
      <c r="A19" s="2" t="inlineStr">
        <is>
          <t>UAT-18</t>
        </is>
      </c>
      <c r="B19" s="2" t="inlineStr">
        <is>
          <t>order-lifecycle</t>
        </is>
      </c>
      <c r="C19" s="2" t="inlineStr">
        <is>
          <t>Confirming the request makes it an order</t>
        </is>
      </c>
      <c r="D19" s="2" t="inlineStr">
        <is>
          <t>sales-order</t>
        </is>
      </c>
      <c r="E19" s="2" t="inlineStr">
        <is>
          <t>Request: confirm order, to Open</t>
        </is>
      </c>
      <c r="F19" s="2" t="inlineStr">
        <is>
          <t>none</t>
        </is>
      </c>
      <c r="G19" s="2" t="inlineStr">
        <is>
          <t>T2</t>
        </is>
      </c>
      <c r="H19" s="2" t="inlineStr">
        <is>
          <t>D5, D7, D17</t>
        </is>
      </c>
      <c r="I19" s="2" t="inlineStr">
        <is>
          <t>Given customer "C-104" is on file
And "Steel drum D-200" is a product Tanmark sells
Given Sam's request for 6 of "Steel drum D-200" is complete
When Sam confirms the order</t>
        </is>
      </c>
      <c r="J19" s="2" t="inlineStr">
        <is>
          <t>Then it shows the state "Open"
And it has an order number</t>
        </is>
      </c>
      <c r="K19" s="3" t="inlineStr"/>
      <c r="L19" s="3" t="inlineStr"/>
      <c r="M19" s="3" t="inlineStr">
        <is>
          <t>Sales staff</t>
        </is>
      </c>
      <c r="N19" s="3" t="inlineStr"/>
    </row>
    <row r="20">
      <c r="A20" s="2" t="inlineStr">
        <is>
          <t>UAT-19</t>
        </is>
      </c>
      <c r="B20" s="2" t="inlineStr">
        <is>
          <t>order-lifecycle</t>
        </is>
      </c>
      <c r="C20" s="2" t="inlineStr">
        <is>
          <t>A customer on credit hold gets no new order</t>
        </is>
      </c>
      <c r="D20" s="2" t="inlineStr">
        <is>
          <t>sales-order</t>
        </is>
      </c>
      <c r="E20" s="2" t="inlineStr">
        <is>
          <t>refused in Request: confirm on credit hold</t>
        </is>
      </c>
      <c r="F20" s="2" t="inlineStr">
        <is>
          <t>R10</t>
        </is>
      </c>
      <c r="G20" s="2" t="inlineStr">
        <is>
          <t>T2, T18</t>
        </is>
      </c>
      <c r="H20" s="2" t="inlineStr">
        <is>
          <t>D5, D7, D17</t>
        </is>
      </c>
      <c r="I20" s="2" t="inlineStr">
        <is>
          <t>Given customer "C-104" is on file
And "Steel drum D-200" is a product Tanmark sells
Given contract "K-104-2" of customer "C-104" is on credit hold
And Sam's request for 6 of "Steel drum D-200" is complete
When Sam tries to confirm the order</t>
        </is>
      </c>
      <c r="J20" s="2" t="inlineStr">
        <is>
          <t>Then the confirmation is refused
And Sam sees "The customer is over its credit limit or overdue. The chief accountant must release the order."
And the request still shows the state "Request"</t>
        </is>
      </c>
      <c r="K20" s="3" t="inlineStr"/>
      <c r="L20" s="3" t="inlineStr"/>
      <c r="M20" s="3" t="inlineStr">
        <is>
          <t>Sales staff</t>
        </is>
      </c>
      <c r="N20" s="3" t="inlineStr"/>
    </row>
    <row r="21">
      <c r="A21" s="2" t="inlineStr">
        <is>
          <t>UAT-20</t>
        </is>
      </c>
      <c r="B21" s="2" t="inlineStr">
        <is>
          <t>order-lifecycle</t>
        </is>
      </c>
      <c r="C21" s="2" t="inlineStr">
        <is>
          <t>The chief accountant releases one order, with a reason</t>
        </is>
      </c>
      <c r="D21" s="2" t="inlineStr">
        <is>
          <t>sales-order</t>
        </is>
      </c>
      <c r="E21" s="2" t="inlineStr">
        <is>
          <t>Request: confirm with credit release, to Open</t>
        </is>
      </c>
      <c r="F21" s="2" t="inlineStr">
        <is>
          <t>R10</t>
        </is>
      </c>
      <c r="G21" s="2" t="inlineStr">
        <is>
          <t>T18</t>
        </is>
      </c>
      <c r="H21" s="2" t="inlineStr">
        <is>
          <t>D5, D7, D17</t>
        </is>
      </c>
      <c r="I21" s="2" t="inlineStr">
        <is>
          <t>Given customer "C-104" is on file
And "Steel drum D-200" is a product Tanmark sells
Given contract "K-104-2" of customer "C-104" is on credit hold
And Sam's request for 6 of "Steel drum D-200" is complete
When the chief accountant releases the order with the reason "Overdue invoice paid today; transfer confirmed"</t>
        </is>
      </c>
      <c r="J21" s="2" t="inlineStr">
        <is>
          <t>Then it shows the state "Open"
And the release is logged with the chief accountant's name and the reason</t>
        </is>
      </c>
      <c r="K21" s="3" t="inlineStr"/>
      <c r="L21" s="3" t="inlineStr"/>
      <c r="M21" s="3" t="inlineStr">
        <is>
          <t>Chief accountant</t>
        </is>
      </c>
      <c r="N21" s="3" t="inlineStr"/>
    </row>
    <row r="22">
      <c r="A22" s="2" t="inlineStr">
        <is>
          <t>UAT-21</t>
        </is>
      </c>
      <c r="B22" s="2" t="inlineStr">
        <is>
          <t>order-lifecycle</t>
        </is>
      </c>
      <c r="C22" s="2" t="inlineStr">
        <is>
          <t>Sending the order to logistics locks it for sales</t>
        </is>
      </c>
      <c r="D22" s="2" t="inlineStr">
        <is>
          <t>sales-order</t>
        </is>
      </c>
      <c r="E22" s="2" t="inlineStr">
        <is>
          <t>Open: send to logistics, to With logistics</t>
        </is>
      </c>
      <c r="F22" s="2" t="inlineStr">
        <is>
          <t>R6</t>
        </is>
      </c>
      <c r="G22" s="2" t="inlineStr">
        <is>
          <t>T3</t>
        </is>
      </c>
      <c r="H22" s="2" t="inlineStr">
        <is>
          <t>D5, D7, D17</t>
        </is>
      </c>
      <c r="I22" s="2" t="inlineStr">
        <is>
          <t>Given customer "C-104" is on file
And "Steel drum D-200" is a product Tanmark sells
Given order "SO-2031" is "Open" with a salesperson assigned
When Sam sends it to logistics</t>
        </is>
      </c>
      <c r="J22" s="2" t="inlineStr">
        <is>
          <t>Then it shows the state "With logistics"
And the logistics coordinator sees it on the work list</t>
        </is>
      </c>
      <c r="K22" s="3" t="inlineStr"/>
      <c r="L22" s="3" t="inlineStr"/>
      <c r="M22" s="3" t="inlineStr">
        <is>
          <t>Sales staff</t>
        </is>
      </c>
      <c r="N22" s="3" t="inlineStr"/>
    </row>
    <row r="23">
      <c r="A23" s="2" t="inlineStr">
        <is>
          <t>UAT-22</t>
        </is>
      </c>
      <c r="B23" s="2" t="inlineStr">
        <is>
          <t>order-lifecycle</t>
        </is>
      </c>
      <c r="C23" s="2" t="inlineStr">
        <is>
          <t>Sales cannot edit an order that logistics has</t>
        </is>
      </c>
      <c r="D23" s="2" t="inlineStr">
        <is>
          <t>sales-order</t>
        </is>
      </c>
      <c r="E23" s="2" t="inlineStr">
        <is>
          <t>refused in With logistics: sales edit</t>
        </is>
      </c>
      <c r="F23" s="2" t="inlineStr">
        <is>
          <t>R6</t>
        </is>
      </c>
      <c r="G23" s="2" t="inlineStr">
        <is>
          <t>T14, T4</t>
        </is>
      </c>
      <c r="H23" s="2" t="inlineStr">
        <is>
          <t>D5, D7, D17</t>
        </is>
      </c>
      <c r="I23" s="2" t="inlineStr">
        <is>
          <t>Given customer "C-104" is on file
And "Steel drum D-200" is a product Tanmark sells
Given order "SO-2031" is "With logistics"
When Sam tries to change its quantity from 6 to 8</t>
        </is>
      </c>
      <c r="J23" s="2" t="inlineStr">
        <is>
          <t>Then the change is refused
And Sam sees "After handoff, sales cannot edit the order. Raise a new order for an increase."
And order "SO-2031" still shows a quantity of 6</t>
        </is>
      </c>
      <c r="K23" s="3" t="inlineStr"/>
      <c r="L23" s="3" t="inlineStr"/>
      <c r="M23" s="3" t="inlineStr">
        <is>
          <t>Sales staff</t>
        </is>
      </c>
      <c r="N23" s="3" t="inlineStr"/>
    </row>
    <row r="24">
      <c r="A24" s="2" t="inlineStr">
        <is>
          <t>UAT-23</t>
        </is>
      </c>
      <c r="B24" s="2" t="inlineStr">
        <is>
          <t>purchase-order</t>
        </is>
      </c>
      <c r="C24" s="2" t="inlineStr">
        <is>
          <t>A new purchase order is open at once</t>
        </is>
      </c>
      <c r="D24" s="2" t="inlineStr">
        <is>
          <t>purchase-order</t>
        </is>
      </c>
      <c r="E24" s="2" t="inlineStr">
        <is>
          <t>in state: Open</t>
        </is>
      </c>
      <c r="F24" s="2" t="inlineStr">
        <is>
          <t>none</t>
        </is>
      </c>
      <c r="G24" s="2" t="inlineStr">
        <is>
          <t>T6</t>
        </is>
      </c>
      <c r="H24" s="2" t="inlineStr">
        <is>
          <t>D9, D15</t>
        </is>
      </c>
      <c r="I24" s="2" t="inlineStr">
        <is>
          <t>Given the buyer holds a signed paper request for 200 kg of "Stainless bar S-40"
When the buyer creates purchase order "PO-5110" with supplier "V-07"</t>
        </is>
      </c>
      <c r="J24" s="2" t="inlineStr">
        <is>
          <t>Then it shows the state "Open"
And no approval task is created</t>
        </is>
      </c>
      <c r="K24" s="3" t="inlineStr"/>
      <c r="L24" s="3" t="inlineStr"/>
      <c r="M24" s="3" t="inlineStr"/>
      <c r="N24" s="3" t="inlineStr"/>
    </row>
    <row r="25">
      <c r="A25" s="2" t="inlineStr">
        <is>
          <t>UAT-24</t>
        </is>
      </c>
      <c r="B25" s="2" t="inlineStr">
        <is>
          <t>purchase-order</t>
        </is>
      </c>
      <c r="C25" s="2" t="inlineStr">
        <is>
          <t>The warehouse keeper reviews a draft receipt form before receiving</t>
        </is>
      </c>
      <c r="D25" s="2" t="inlineStr">
        <is>
          <t>purchase-order</t>
        </is>
      </c>
      <c r="E25" s="2" t="inlineStr">
        <is>
          <t>in state: Open</t>
        </is>
      </c>
      <c r="F25" s="2" t="inlineStr">
        <is>
          <t>R8</t>
        </is>
      </c>
      <c r="G25" s="2" t="inlineStr">
        <is>
          <t>T6</t>
        </is>
      </c>
      <c r="H25" s="2" t="inlineStr">
        <is>
          <t>D9, D15</t>
        </is>
      </c>
      <c r="I25" s="2" t="inlineStr">
        <is>
          <t>Given purchase order "PO-5110" is "Open"
When the warehouse keeper previews the receipt form</t>
        </is>
      </c>
      <c r="J25" s="2" t="inlineStr">
        <is>
          <t>Then the form downloads marked "Draft" with no form number
And purchase order "PO-5110" still shows the state "Open"</t>
        </is>
      </c>
      <c r="K25" s="3" t="inlineStr"/>
      <c r="L25" s="3" t="inlineStr"/>
      <c r="M25" s="3" t="inlineStr"/>
      <c r="N25" s="3" t="inlineStr"/>
    </row>
    <row r="26">
      <c r="A26" s="2" t="inlineStr">
        <is>
          <t>UAT-25</t>
        </is>
      </c>
      <c r="B26" s="2" t="inlineStr">
        <is>
          <t>purchase-order</t>
        </is>
      </c>
      <c r="C26" s="2" t="inlineStr">
        <is>
          <t>A numbered receipt form cannot exist before the goods are received</t>
        </is>
      </c>
      <c r="D26" s="2" t="inlineStr">
        <is>
          <t>purchase-order</t>
        </is>
      </c>
      <c r="E26" s="2" t="inlineStr">
        <is>
          <t>refused in Open: download numbered form</t>
        </is>
      </c>
      <c r="F26" s="2" t="inlineStr">
        <is>
          <t>R8</t>
        </is>
      </c>
      <c r="G26" s="2" t="inlineStr">
        <is>
          <t>T6</t>
        </is>
      </c>
      <c r="H26" s="2" t="inlineStr">
        <is>
          <t>D9, D15</t>
        </is>
      </c>
      <c r="I26" s="2" t="inlineStr">
        <is>
          <t>Given purchase order "PO-5110" is "Open"
When the warehouse keeper tries to download the numbered receipt form</t>
        </is>
      </c>
      <c r="J26" s="2" t="inlineStr">
        <is>
          <t>Then the download is refused
And the warehouse keeper sees "No stock has moved yet. Preview the draft form; its number is given when the goods are received."</t>
        </is>
      </c>
      <c r="K26" s="3" t="inlineStr"/>
      <c r="L26" s="3" t="inlineStr"/>
      <c r="M26" s="3" t="inlineStr">
        <is>
          <t>Warehouse keeper</t>
        </is>
      </c>
      <c r="N26" s="3" t="inlineStr"/>
    </row>
    <row r="27">
      <c r="A27" s="2" t="inlineStr">
        <is>
          <t>UAT-26</t>
        </is>
      </c>
      <c r="B27" s="2" t="inlineStr">
        <is>
          <t>purchase-order</t>
        </is>
      </c>
      <c r="C27" s="2" t="inlineStr">
        <is>
          <t>Receiving the goods counts as approval</t>
        </is>
      </c>
      <c r="D27" s="2" t="inlineStr">
        <is>
          <t>purchase-order</t>
        </is>
      </c>
      <c r="E27" s="2" t="inlineStr">
        <is>
          <t>Open: receive into stock, to Received</t>
        </is>
      </c>
      <c r="F27" s="2" t="inlineStr">
        <is>
          <t>R8</t>
        </is>
      </c>
      <c r="G27" s="2" t="inlineStr">
        <is>
          <t>T6</t>
        </is>
      </c>
      <c r="H27" s="2" t="inlineStr">
        <is>
          <t>D9, D15</t>
        </is>
      </c>
      <c r="I27" s="2" t="inlineStr">
        <is>
          <t>Given purchase order "PO-5110" is "Open"
When the warehouse keeper receives 200 kg into stock against it</t>
        </is>
      </c>
      <c r="J27" s="2" t="inlineStr">
        <is>
          <t>Then it shows the state "Received"
And stock of "Stainless bar S-40" rises by 200 kg
And the receipt form downloads with its form number</t>
        </is>
      </c>
      <c r="K27" s="3" t="inlineStr"/>
      <c r="L27" s="3" t="inlineStr"/>
      <c r="M27" s="3" t="inlineStr">
        <is>
          <t>Warehouse keeper</t>
        </is>
      </c>
      <c r="N27" s="3" t="inlineStr"/>
    </row>
    <row r="28">
      <c r="A28" s="2" t="inlineStr">
        <is>
          <t>UAT-27</t>
        </is>
      </c>
      <c r="B28" s="2" t="inlineStr">
        <is>
          <t>purchase-order</t>
        </is>
      </c>
      <c r="C28" s="2" t="inlineStr">
        <is>
          <t>A second delivery gets its own receipt form</t>
        </is>
      </c>
      <c r="D28" s="2" t="inlineStr">
        <is>
          <t>purchase-order</t>
        </is>
      </c>
      <c r="E28" s="2" t="inlineStr">
        <is>
          <t>Received: receive more, to Received</t>
        </is>
      </c>
      <c r="F28" s="2" t="inlineStr">
        <is>
          <t>R8</t>
        </is>
      </c>
      <c r="G28" s="2" t="inlineStr">
        <is>
          <t>T5, T6</t>
        </is>
      </c>
      <c r="H28" s="2" t="inlineStr">
        <is>
          <t>D9, D15</t>
        </is>
      </c>
      <c r="I28" s="2" t="inlineStr">
        <is>
          <t>Given purchase order "PO-5120" for 300 kg of "Stainless bar S-40" has received 200 kg
When the warehouse keeper receives the remaining 100 kg against it</t>
        </is>
      </c>
      <c r="J28" s="2" t="inlineStr">
        <is>
          <t>Then it still shows the state "Received"
And a new receipt form downloads with its own form number</t>
        </is>
      </c>
      <c r="K28" s="3" t="inlineStr"/>
      <c r="L28" s="3" t="inlineStr"/>
      <c r="M28" s="3" t="inlineStr">
        <is>
          <t>Warehouse keeper</t>
        </is>
      </c>
      <c r="N28" s="3" t="inlineStr"/>
    </row>
    <row r="29">
      <c r="A29" s="2" t="inlineStr">
        <is>
          <t>UAT-28</t>
        </is>
      </c>
      <c r="B29" s="2" t="inlineStr">
        <is>
          <t>purchase-order</t>
        </is>
      </c>
      <c r="C29" s="2" t="inlineStr">
        <is>
          <t>The order closes when every line is received and invoiced</t>
        </is>
      </c>
      <c r="D29" s="2" t="inlineStr">
        <is>
          <t>purchase-order</t>
        </is>
      </c>
      <c r="E29" s="2" t="inlineStr">
        <is>
          <t>Received: close, to Completed</t>
        </is>
      </c>
      <c r="F29" s="2" t="inlineStr">
        <is>
          <t>none</t>
        </is>
      </c>
      <c r="G29" s="2" t="inlineStr">
        <is>
          <t>T5, T6</t>
        </is>
      </c>
      <c r="H29" s="2" t="inlineStr">
        <is>
          <t>D9, D15</t>
        </is>
      </c>
      <c r="I29" s="2" t="inlineStr">
        <is>
          <t>Given purchase order "PO-5110" is "Received"
And the supplier's invoice for it is recorded
When the buyer closes it</t>
        </is>
      </c>
      <c r="J29" s="2" t="inlineStr">
        <is>
          <t>Then it shows the state "Completed"</t>
        </is>
      </c>
      <c r="K29" s="3" t="inlineStr"/>
      <c r="L29" s="3" t="inlineStr"/>
      <c r="M29" s="3" t="inlineStr">
        <is>
          <t>Purchasing staff</t>
        </is>
      </c>
      <c r="N29" s="3" t="inlineStr"/>
    </row>
    <row r="30">
      <c r="A30" s="2" t="inlineStr">
        <is>
          <t>UAT-29</t>
        </is>
      </c>
      <c r="B30" s="2" t="inlineStr">
        <is>
          <t>purchase-order</t>
        </is>
      </c>
      <c r="C30" s="2" t="inlineStr">
        <is>
          <t>A received purchase order cannot be cancelled</t>
        </is>
      </c>
      <c r="D30" s="2" t="inlineStr">
        <is>
          <t>purchase-order</t>
        </is>
      </c>
      <c r="E30" s="2" t="inlineStr">
        <is>
          <t>refused in Received: cancel</t>
        </is>
      </c>
      <c r="F30" s="2" t="inlineStr">
        <is>
          <t>R3</t>
        </is>
      </c>
      <c r="G30" s="2" t="inlineStr">
        <is>
          <t>T5, T6</t>
        </is>
      </c>
      <c r="H30" s="2" t="inlineStr">
        <is>
          <t>D9, D15</t>
        </is>
      </c>
      <c r="I30" s="2" t="inlineStr">
        <is>
          <t>Given purchase order "PO-5110" is "Received"
When the buyer tries to cancel it</t>
        </is>
      </c>
      <c r="J30" s="2" t="inlineStr">
        <is>
          <t>Then the cancellation is refused
And the buyer sees "Goods are in stock. Return them to the supplier instead."</t>
        </is>
      </c>
      <c r="K30" s="3" t="inlineStr"/>
      <c r="L30" s="3" t="inlineStr"/>
      <c r="M30" s="3" t="inlineStr">
        <is>
          <t>Purchasing staff</t>
        </is>
      </c>
      <c r="N30" s="3" t="inlineStr"/>
    </row>
    <row r="31">
      <c r="A31" s="2" t="inlineStr">
        <is>
          <t>UAT-30</t>
        </is>
      </c>
      <c r="B31" s="2" t="inlineStr">
        <is>
          <t>receivables</t>
        </is>
      </c>
      <c r="C31" s="2" t="inlineStr">
        <is>
          <t>The invoice is raised for the issued trip, with its due date from the contract</t>
        </is>
      </c>
      <c r="D31" s="2" t="inlineStr">
        <is>
          <t>sales-invoice</t>
        </is>
      </c>
      <c r="E31" s="2" t="inlineStr">
        <is>
          <t>Draft: raise, to Raised</t>
        </is>
      </c>
      <c r="F31" s="2" t="inlineStr">
        <is>
          <t>R9</t>
        </is>
      </c>
      <c r="G31" s="2" t="inlineStr">
        <is>
          <t>T11</t>
        </is>
      </c>
      <c r="H31" s="2" t="inlineStr">
        <is>
          <t>D16, D17</t>
        </is>
      </c>
      <c r="I31" s="2" t="inlineStr">
        <is>
          <t>Given customer "C-104" buys under contract "K-104-2" with 30-day payment terms
And trip "TR-131" for order "SO-2060" is "Issued"
When the accountant raises the invoice for trip "TR-131" on 2 March for 5,000.00</t>
        </is>
      </c>
      <c r="J31" s="2" t="inlineStr">
        <is>
          <t>Then invoice "INV-401" shows the state "Raised"
And its due date is 1 April</t>
        </is>
      </c>
      <c r="K31" s="3" t="inlineStr"/>
      <c r="L31" s="3" t="inlineStr"/>
      <c r="M31" s="3" t="inlineStr">
        <is>
          <t>Accountant</t>
        </is>
      </c>
      <c r="N31" s="3" t="inlineStr"/>
    </row>
    <row r="32">
      <c r="A32" s="2" t="inlineStr">
        <is>
          <t>UAT-31</t>
        </is>
      </c>
      <c r="B32" s="2" t="inlineStr">
        <is>
          <t>receivables</t>
        </is>
      </c>
      <c r="C32" s="2" t="inlineStr">
        <is>
          <t>A trip that has not been issued cannot be invoiced</t>
        </is>
      </c>
      <c r="D32" s="2" t="inlineStr">
        <is>
          <t>sales-invoice</t>
        </is>
      </c>
      <c r="E32" s="2" t="inlineStr">
        <is>
          <t>refused in Draft: raise before the trip is issued</t>
        </is>
      </c>
      <c r="F32" s="2" t="inlineStr">
        <is>
          <t>R9</t>
        </is>
      </c>
      <c r="G32" s="2" t="inlineStr">
        <is>
          <t>T11</t>
        </is>
      </c>
      <c r="H32" s="2" t="inlineStr">
        <is>
          <t>D16, D17</t>
        </is>
      </c>
      <c r="I32" s="2" t="inlineStr">
        <is>
          <t>Given customer "C-104" buys under contract "K-104-2" with 30-day payment terms
And trip "TR-131" for order "SO-2060" is "Issued"
Given trip "TR-132" for order "SO-2060" is "Planned"
When the accountant tries to raise the invoice for trip "TR-132"</t>
        </is>
      </c>
      <c r="J32" s="2" t="inlineStr">
        <is>
          <t>Then the invoice is refused
And the accountant sees "Raise the invoice for goods the warehouse has issued to the trip."</t>
        </is>
      </c>
      <c r="K32" s="3" t="inlineStr"/>
      <c r="L32" s="3" t="inlineStr"/>
      <c r="M32" s="3" t="inlineStr">
        <is>
          <t>Accountant</t>
        </is>
      </c>
      <c r="N32" s="3" t="inlineStr"/>
    </row>
    <row r="33">
      <c r="A33" s="2" t="inlineStr">
        <is>
          <t>UAT-32</t>
        </is>
      </c>
      <c r="B33" s="2" t="inlineStr">
        <is>
          <t>receivables</t>
        </is>
      </c>
      <c r="C33" s="2" t="inlineStr">
        <is>
          <t>One transfer pays the oldest invoice first</t>
        </is>
      </c>
      <c r="D33" s="2" t="inlineStr">
        <is>
          <t>sales-invoice</t>
        </is>
      </c>
      <c r="E33" s="2" t="inlineStr">
        <is>
          <t>Raised: record part payment, to Partly paid</t>
        </is>
      </c>
      <c r="F33" s="2" t="inlineStr">
        <is>
          <t>none</t>
        </is>
      </c>
      <c r="G33" s="2" t="inlineStr">
        <is>
          <t>T11, T12</t>
        </is>
      </c>
      <c r="H33" s="2" t="inlineStr">
        <is>
          <t>D16, D17</t>
        </is>
      </c>
      <c r="I33" s="2" t="inlineStr">
        <is>
          <t>Given customer "C-104" buys under contract "K-104-2" with 30-day payment terms
And trip "TR-131" for order "SO-2060" is "Issued"
Given invoice "INV-401" for 5,000.00 due 1 April is "Raised"
And invoice "INV-402" for 3,000.00 due 4 April is "Raised"
And the trips for both invoices are confirmed delivered
When customer "C-104" transfers 6,000.00 and the receipt is allocated</t>
        </is>
      </c>
      <c r="J33" s="2" t="inlineStr">
        <is>
          <t>Then invoice "INV-401" shows the state "Paid"
And invoice "INV-402" shows the state "Partly paid" with 2,000.00 still due</t>
        </is>
      </c>
      <c r="K33" s="3" t="inlineStr"/>
      <c r="L33" s="3" t="inlineStr"/>
      <c r="M33" s="3" t="inlineStr">
        <is>
          <t>Accountant</t>
        </is>
      </c>
      <c r="N33" s="3" t="inlineStr"/>
    </row>
    <row r="34">
      <c r="A34" s="2" t="inlineStr">
        <is>
          <t>UAT-33</t>
        </is>
      </c>
      <c r="B34" s="2" t="inlineStr">
        <is>
          <t>receivables</t>
        </is>
      </c>
      <c r="C34" s="2" t="inlineStr">
        <is>
          <t>The last payment clears the invoice</t>
        </is>
      </c>
      <c r="D34" s="2" t="inlineStr">
        <is>
          <t>sales-invoice</t>
        </is>
      </c>
      <c r="E34" s="2" t="inlineStr">
        <is>
          <t>Partly paid: record final payment, to Paid</t>
        </is>
      </c>
      <c r="F34" s="2" t="inlineStr">
        <is>
          <t>none</t>
        </is>
      </c>
      <c r="G34" s="2" t="inlineStr">
        <is>
          <t>T11, T12</t>
        </is>
      </c>
      <c r="H34" s="2" t="inlineStr">
        <is>
          <t>D16, D17</t>
        </is>
      </c>
      <c r="I34" s="2" t="inlineStr">
        <is>
          <t>Given customer "C-104" buys under contract "K-104-2" with 30-day payment terms
And trip "TR-131" for order "SO-2060" is "Issued"
Given invoice "INV-402" is "Partly paid" with 2,000.00 still due
When customer "C-104" transfers 2,000.00 and the receipt is allocated</t>
        </is>
      </c>
      <c r="J34" s="2" t="inlineStr">
        <is>
          <t>Then invoice "INV-402" shows the state "Paid"</t>
        </is>
      </c>
      <c r="K34" s="3" t="inlineStr"/>
      <c r="L34" s="3" t="inlineStr"/>
      <c r="M34" s="3" t="inlineStr">
        <is>
          <t>Accountant</t>
        </is>
      </c>
      <c r="N34" s="3" t="inlineStr"/>
    </row>
    <row r="35">
      <c r="A35" s="2" t="inlineStr">
        <is>
          <t>UAT-34</t>
        </is>
      </c>
      <c r="B35" s="2" t="inlineStr">
        <is>
          <t>receivables</t>
        </is>
      </c>
      <c r="C35" s="2" t="inlineStr">
        <is>
          <t>An invoice past its due date shows in the ageing view and holds the contract</t>
        </is>
      </c>
      <c r="D35" s="2" t="inlineStr">
        <is>
          <t>sales-invoice</t>
        </is>
      </c>
      <c r="E35" s="2" t="inlineStr">
        <is>
          <t>in state: Raised</t>
        </is>
      </c>
      <c r="F35" s="2" t="inlineStr">
        <is>
          <t>R10</t>
        </is>
      </c>
      <c r="G35" s="2" t="inlineStr">
        <is>
          <t>T11, T12</t>
        </is>
      </c>
      <c r="H35" s="2" t="inlineStr">
        <is>
          <t>D16, D17</t>
        </is>
      </c>
      <c r="I35" s="2" t="inlineStr">
        <is>
          <t>Given customer "C-104" buys under contract "K-104-2" with 30-day payment terms
And trip "TR-131" for order "SO-2060" is "Issued"
Given invoice "INV-405" for 4,000.00 due 1 April is "Raised"
When the ageing view is run on 20 April</t>
        </is>
      </c>
      <c r="J35" s="2" t="inlineStr">
        <is>
          <t>Then invoice "INV-405" shows 19 days overdue, in the 1 to 30 days column
And contract "K-104-2" shows "On credit hold"</t>
        </is>
      </c>
      <c r="K35" s="3" t="inlineStr"/>
      <c r="L35" s="3" t="inlineStr"/>
      <c r="M35" s="3" t="inlineStr"/>
      <c r="N35" s="3" t="inlineStr"/>
    </row>
    <row r="36">
      <c r="A36" s="2" t="inlineStr">
        <is>
          <t>UAT-35</t>
        </is>
      </c>
      <c r="B36" s="2" t="inlineStr">
        <is>
          <t>receivables</t>
        </is>
      </c>
      <c r="C36" s="2" t="inlineStr">
        <is>
          <t>A price correction is a part credit note, not an edit</t>
        </is>
      </c>
      <c r="D36" s="2" t="inlineStr">
        <is>
          <t>sales-invoice</t>
        </is>
      </c>
      <c r="E36" s="2" t="inlineStr">
        <is>
          <t>Raised: credit in part, to Raised</t>
        </is>
      </c>
      <c r="F36" s="2" t="inlineStr">
        <is>
          <t>R2</t>
        </is>
      </c>
      <c r="G36" s="2" t="inlineStr">
        <is>
          <t>T11, T12</t>
        </is>
      </c>
      <c r="H36" s="2" t="inlineStr">
        <is>
          <t>D16, D17</t>
        </is>
      </c>
      <c r="I36" s="2" t="inlineStr">
        <is>
          <t>Given customer "C-104" buys under contract "K-104-2" with 30-day payment terms
And trip "TR-131" for order "SO-2060" is "Issued"
Given invoice "INV-401" for 5,000.00 is "Raised"
When the chief accountant issues a credit note for 300.00 against it, with the reason "agreed price correction"</t>
        </is>
      </c>
      <c r="J36" s="2" t="inlineStr">
        <is>
          <t>Then invoice "INV-401" still shows the state "Raised"
And its balance due is 4,700.00
And the original amount of 5,000.00 is unchanged</t>
        </is>
      </c>
      <c r="K36" s="3" t="inlineStr"/>
      <c r="L36" s="3" t="inlineStr"/>
      <c r="M36" s="3" t="inlineStr">
        <is>
          <t>Chief accountant</t>
        </is>
      </c>
      <c r="N36" s="3" t="inlineStr"/>
    </row>
    <row r="37">
      <c r="A37" s="2" t="inlineStr">
        <is>
          <t>UAT-36</t>
        </is>
      </c>
      <c r="B37" s="2" t="inlineStr">
        <is>
          <t>receivables</t>
        </is>
      </c>
      <c r="C37" s="2" t="inlineStr">
        <is>
          <t>An invoice amount cannot be edited</t>
        </is>
      </c>
      <c r="D37" s="2" t="inlineStr">
        <is>
          <t>sales-invoice</t>
        </is>
      </c>
      <c r="E37" s="2" t="inlineStr">
        <is>
          <t>refused in Raised: edit amount</t>
        </is>
      </c>
      <c r="F37" s="2" t="inlineStr">
        <is>
          <t>R2</t>
        </is>
      </c>
      <c r="G37" s="2" t="inlineStr">
        <is>
          <t>T11, T12</t>
        </is>
      </c>
      <c r="H37" s="2" t="inlineStr">
        <is>
          <t>D16, D17</t>
        </is>
      </c>
      <c r="I37" s="2" t="inlineStr">
        <is>
          <t>Given customer "C-104" buys under contract "K-104-2" with 30-day payment terms
And trip "TR-131" for order "SO-2060" is "Issued"
Given invoice "INV-401" for 5,000.00 is "Raised"
When the accountant tries to change its amount to 4,500.00</t>
        </is>
      </c>
      <c r="J37" s="2" t="inlineStr">
        <is>
          <t>Then the change is refused
And the accountant sees "Correct an invoice with a credit note, never by editing it."</t>
        </is>
      </c>
      <c r="K37" s="3" t="inlineStr"/>
      <c r="L37" s="3" t="inlineStr"/>
      <c r="M37" s="3" t="inlineStr">
        <is>
          <t>Accountant</t>
        </is>
      </c>
      <c r="N37" s="3" t="inlineStr"/>
    </row>
    <row r="38">
      <c r="A38" s="2" t="inlineStr">
        <is>
          <t>UAT-37</t>
        </is>
      </c>
      <c r="B38" s="2" t="inlineStr">
        <is>
          <t>sale-statuses</t>
        </is>
      </c>
      <c r="C38" s="2" t="inlineStr">
        <is>
          <t>A new sale starts with all three statuses open</t>
        </is>
      </c>
      <c r="D38" s="2" t="inlineStr">
        <is>
          <t>sale-statuses</t>
        </is>
      </c>
      <c r="E38" s="2" t="inlineStr">
        <is>
          <t>in state: Not invoiced, Not delivered, Unpaid</t>
        </is>
      </c>
      <c r="F38" s="2" t="inlineStr">
        <is>
          <t>none</t>
        </is>
      </c>
      <c r="G38" s="2" t="inlineStr">
        <is>
          <t>T11, T17, T12</t>
        </is>
      </c>
      <c r="H38" s="2" t="inlineStr">
        <is>
          <t>D8, D16, D17</t>
        </is>
      </c>
      <c r="I38" s="2" t="inlineStr">
        <is>
          <t>Given order "SO-2060" for 8,000.00 ships on two trips
And trip "TR-131" carries 5,000.00 of it and trip "TR-132" carries 3,000.00
And customer "C-104" buys under contract "K-104-2" with 30-day payment terms
When order "SO-2060" is confirmed</t>
        </is>
      </c>
      <c r="J38" s="2" t="inlineStr">
        <is>
          <t>Then its statuses are "Not invoiced", "Not delivered" and "Unpaid"</t>
        </is>
      </c>
      <c r="K38" s="3" t="inlineStr"/>
      <c r="L38" s="3" t="inlineStr"/>
      <c r="M38" s="3" t="inlineStr"/>
      <c r="N38" s="3" t="inlineStr"/>
    </row>
    <row r="39">
      <c r="A39" s="2" t="inlineStr">
        <is>
          <t>UAT-38</t>
        </is>
      </c>
      <c r="B39" s="2" t="inlineStr">
        <is>
          <t>sale-statuses</t>
        </is>
      </c>
      <c r="C39" s="2" t="inlineStr">
        <is>
          <t>The first trip's invoice makes the sale partly invoiced</t>
        </is>
      </c>
      <c r="D39" s="2" t="inlineStr">
        <is>
          <t>sale-statuses</t>
        </is>
      </c>
      <c r="E39" s="2" t="inlineStr">
        <is>
          <t>Not invoiced: first trip invoiced, to Partly invoiced</t>
        </is>
      </c>
      <c r="F39" s="2" t="inlineStr">
        <is>
          <t>none</t>
        </is>
      </c>
      <c r="G39" s="2" t="inlineStr">
        <is>
          <t>T11, T17, T12</t>
        </is>
      </c>
      <c r="H39" s="2" t="inlineStr">
        <is>
          <t>D8, D16, D17</t>
        </is>
      </c>
      <c r="I39" s="2" t="inlineStr">
        <is>
          <t>Given order "SO-2060" for 8,000.00 ships on two trips
And trip "TR-131" carries 5,000.00 of it and trip "TR-132" carries 3,000.00
And customer "C-104" buys under contract "K-104-2" with 30-day payment terms
When the invoice for trip "TR-131" is raised</t>
        </is>
      </c>
      <c r="J39" s="2" t="inlineStr">
        <is>
          <t>Then its statuses are "Partly invoiced", "Not delivered" and "Unpaid"</t>
        </is>
      </c>
      <c r="K39" s="3" t="inlineStr"/>
      <c r="L39" s="3" t="inlineStr"/>
      <c r="M39" s="3" t="inlineStr"/>
      <c r="N39" s="3" t="inlineStr"/>
    </row>
    <row r="40">
      <c r="A40" s="2" t="inlineStr">
        <is>
          <t>UAT-39</t>
        </is>
      </c>
      <c r="B40" s="2" t="inlineStr">
        <is>
          <t>sale-statuses</t>
        </is>
      </c>
      <c r="C40" s="2" t="inlineStr">
        <is>
          <t>Delivery never runs ahead of invoicing</t>
        </is>
      </c>
      <c r="D40" s="2" t="inlineStr">
        <is>
          <t>sale-statuses</t>
        </is>
      </c>
      <c r="E40" s="2" t="inlineStr">
        <is>
          <t>Not delivered: first trip delivered, to Partly delivered</t>
        </is>
      </c>
      <c r="F40" s="2" t="inlineStr">
        <is>
          <t>none</t>
        </is>
      </c>
      <c r="G40" s="2" t="inlineStr">
        <is>
          <t>T11, T17, T12</t>
        </is>
      </c>
      <c r="H40" s="2" t="inlineStr">
        <is>
          <t>D8, D16, D17</t>
        </is>
      </c>
      <c r="I40" s="2" t="inlineStr">
        <is>
          <t>Given order "SO-2060" for 8,000.00 ships on two trips
And trip "TR-131" carries 5,000.00 of it and trip "TR-132" carries 3,000.00
And customer "C-104" buys under contract "K-104-2" with 30-day payment terms
Given the invoice for trip "TR-131" is raised and the trip has left with it
When trip "TR-131" is confirmed delivered</t>
        </is>
      </c>
      <c r="J40" s="2" t="inlineStr">
        <is>
          <t>Then its statuses are "Partly invoiced", "Partly delivered" and "Unpaid"</t>
        </is>
      </c>
      <c r="K40" s="3" t="inlineStr"/>
      <c r="L40" s="3" t="inlineStr"/>
      <c r="M40" s="3" t="inlineStr"/>
      <c r="N40" s="3" t="inlineStr"/>
    </row>
    <row r="41">
      <c r="A41" s="2" t="inlineStr">
        <is>
          <t>UAT-40</t>
        </is>
      </c>
      <c r="B41" s="2" t="inlineStr">
        <is>
          <t>sale-statuses</t>
        </is>
      </c>
      <c r="C41" s="2" t="inlineStr">
        <is>
          <t>A delivered sale waits on its credit terms</t>
        </is>
      </c>
      <c r="D41" s="2" t="inlineStr">
        <is>
          <t>sale-statuses</t>
        </is>
      </c>
      <c r="E41" s="2" t="inlineStr">
        <is>
          <t>in state: Invoiced, Delivered, Unpaid</t>
        </is>
      </c>
      <c r="F41" s="2" t="inlineStr">
        <is>
          <t>R10</t>
        </is>
      </c>
      <c r="G41" s="2" t="inlineStr">
        <is>
          <t>T11, T17, T12</t>
        </is>
      </c>
      <c r="H41" s="2" t="inlineStr">
        <is>
          <t>D8, D16, D17</t>
        </is>
      </c>
      <c r="I41" s="2" t="inlineStr">
        <is>
          <t>Given order "SO-2060" for 8,000.00 ships on two trips
And trip "TR-131" carries 5,000.00 of it and trip "TR-132" carries 3,000.00
And customer "C-104" buys under contract "K-104-2" with 30-day payment terms
Given the invoices for trips "TR-131" and "TR-132" were raised on 2 March and 5 March
And both trips are confirmed delivered</t>
        </is>
      </c>
      <c r="J41" s="2" t="inlineStr">
        <is>
          <t>Then its statuses are "Invoiced", "Delivered" and "Unpaid"
And its invoices fall due on 1 April and 4 April</t>
        </is>
      </c>
      <c r="K41" s="3" t="inlineStr"/>
      <c r="L41" s="3" t="inlineStr"/>
      <c r="M41" s="3" t="inlineStr"/>
      <c r="N41" s="3" t="inlineStr"/>
    </row>
    <row r="42">
      <c r="A42" s="2" t="inlineStr">
        <is>
          <t>UAT-41</t>
        </is>
      </c>
      <c r="B42" s="2" t="inlineStr">
        <is>
          <t>sale-statuses</t>
        </is>
      </c>
      <c r="C42" s="2" t="inlineStr">
        <is>
          <t>A returned trip does not leave the sale waiting</t>
        </is>
      </c>
      <c r="D42" s="2" t="inlineStr">
        <is>
          <t>sale-statuses</t>
        </is>
      </c>
      <c r="E42" s="2" t="inlineStr">
        <is>
          <t>Partly delivered: last trip delivered, to Delivered</t>
        </is>
      </c>
      <c r="F42" s="2" t="inlineStr">
        <is>
          <t>none</t>
        </is>
      </c>
      <c r="G42" s="2" t="inlineStr">
        <is>
          <t>T11, T17, T12</t>
        </is>
      </c>
      <c r="H42" s="2" t="inlineStr">
        <is>
          <t>D8, D16, D17</t>
        </is>
      </c>
      <c r="I42" s="2" t="inlineStr">
        <is>
          <t>Given order "SO-2060" for 8,000.00 ships on two trips
And trip "TR-131" carries 5,000.00 of it and trip "TR-132" carries 3,000.00
And customer "C-104" buys under contract "K-104-2" with 30-day payment terms
Given trip "TR-131" is confirmed delivered
And trip "TR-132" is returned, and its invoice is credited in full
When the return is recorded</t>
        </is>
      </c>
      <c r="J42" s="2" t="inlineStr">
        <is>
          <t>Then its delivery status is "Delivered"
And order "SO-2060" can complete</t>
        </is>
      </c>
      <c r="K42" s="3" t="inlineStr"/>
      <c r="L42" s="3" t="inlineStr"/>
      <c r="M42" s="3" t="inlineStr"/>
      <c r="N42" s="3" t="inlineStr"/>
    </row>
    <row r="43">
      <c r="A43" s="2" t="inlineStr">
        <is>
          <t>UAT-42</t>
        </is>
      </c>
      <c r="B43" s="2" t="inlineStr">
        <is>
          <t>sale-statuses</t>
        </is>
      </c>
      <c r="C43" s="2" t="inlineStr">
        <is>
          <t>A sale cannot be delivered before it is invoiced</t>
        </is>
      </c>
      <c r="D43" s="2" t="inlineStr">
        <is>
          <t>sale-statuses</t>
        </is>
      </c>
      <c r="E43" s="2" t="inlineStr">
        <is>
          <t>refused in Not invoiced: deliver before invoicing</t>
        </is>
      </c>
      <c r="F43" s="2" t="inlineStr">
        <is>
          <t>R9</t>
        </is>
      </c>
      <c r="G43" s="2" t="inlineStr">
        <is>
          <t>T11, T17, T12</t>
        </is>
      </c>
      <c r="H43" s="2" t="inlineStr">
        <is>
          <t>D8, D16, D17</t>
        </is>
      </c>
      <c r="I43" s="2" t="inlineStr">
        <is>
          <t>Given order "SO-2060" for 8,000.00 ships on two trips
And trip "TR-131" carries 5,000.00 of it and trip "TR-132" carries 3,000.00
And customer "C-104" buys under contract "K-104-2" with 30-day payment terms
Given no invoice has been raised for order "SO-2060"
When a delivery is recorded for trip "TR-131"</t>
        </is>
      </c>
      <c r="J43" s="2" t="inlineStr">
        <is>
          <t>Then the delivery is refused
And the coordinator sees "A trip leaves only with its invoice. Raise the trip's invoice first."
And its statuses are still "Not invoiced", "Not delivered" and "Unpaid"</t>
        </is>
      </c>
      <c r="K43" s="3" t="inlineStr"/>
      <c r="L43" s="3" t="inlineStr"/>
      <c r="M43" s="3" t="inlineStr">
        <is>
          <t>Logistics coordinator</t>
        </is>
      </c>
      <c r="N43" s="3" t="inlineStr"/>
    </row>
    <row r="44">
      <c r="A44" s="2" t="inlineStr">
        <is>
          <t>UAT-43</t>
        </is>
      </c>
      <c r="B44" s="2" t="inlineStr">
        <is>
          <t>voucher-posting</t>
        </is>
      </c>
      <c r="C44" s="2" t="inlineStr">
        <is>
          <t>A saved voucher does not reach the ledger</t>
        </is>
      </c>
      <c r="D44" s="2" t="inlineStr">
        <is>
          <t>voucher</t>
        </is>
      </c>
      <c r="E44" s="2" t="inlineStr">
        <is>
          <t>in state: Saved</t>
        </is>
      </c>
      <c r="F44" s="2" t="inlineStr">
        <is>
          <t>R2</t>
        </is>
      </c>
      <c r="G44" s="2" t="inlineStr">
        <is>
          <t>T12, T13</t>
        </is>
      </c>
      <c r="H44" s="2" t="inlineStr">
        <is>
          <t>D10</t>
        </is>
      </c>
      <c r="I44" s="2" t="inlineStr">
        <is>
          <t>Given the accountant saves receipt voucher "RV-0907" for 12,400.00 from customer "C-104"
When the ledger for customer "C-104" is read</t>
        </is>
      </c>
      <c r="J44" s="2" t="inlineStr">
        <is>
          <t>Then receipt voucher "RV-0907" is not on it</t>
        </is>
      </c>
      <c r="K44" s="3" t="inlineStr"/>
      <c r="L44" s="3" t="inlineStr"/>
      <c r="M44" s="3" t="inlineStr"/>
      <c r="N44" s="3" t="inlineStr"/>
    </row>
    <row r="45">
      <c r="A45" s="2" t="inlineStr">
        <is>
          <t>UAT-44</t>
        </is>
      </c>
      <c r="B45" s="2" t="inlineStr">
        <is>
          <t>voucher-posting</t>
        </is>
      </c>
      <c r="C45" s="2" t="inlineStr">
        <is>
          <t>Posting locks the voucher and updates the ledger</t>
        </is>
      </c>
      <c r="D45" s="2" t="inlineStr">
        <is>
          <t>voucher</t>
        </is>
      </c>
      <c r="E45" s="2" t="inlineStr">
        <is>
          <t>Saved: post, to Posted</t>
        </is>
      </c>
      <c r="F45" s="2" t="inlineStr">
        <is>
          <t>R2</t>
        </is>
      </c>
      <c r="G45" s="2" t="inlineStr">
        <is>
          <t>T12, T13</t>
        </is>
      </c>
      <c r="H45" s="2" t="inlineStr">
        <is>
          <t>D10</t>
        </is>
      </c>
      <c r="I45" s="2" t="inlineStr">
        <is>
          <t>Given receipt voucher "RV-0907" is "Saved" and its entries balance
When the accountant posts it</t>
        </is>
      </c>
      <c r="J45" s="2" t="inlineStr">
        <is>
          <t>Then it shows the state "Posted"
And the ledger for customer "C-104" shows 12,400.00 received</t>
        </is>
      </c>
      <c r="K45" s="3" t="inlineStr"/>
      <c r="L45" s="3" t="inlineStr"/>
      <c r="M45" s="3" t="inlineStr">
        <is>
          <t>Accountant</t>
        </is>
      </c>
      <c r="N45" s="3" t="inlineStr"/>
    </row>
    <row r="46">
      <c r="A46" s="2" t="inlineStr">
        <is>
          <t>UAT-45</t>
        </is>
      </c>
      <c r="B46" s="2" t="inlineStr">
        <is>
          <t>voucher-posting</t>
        </is>
      </c>
      <c r="C46" s="2" t="inlineStr">
        <is>
          <t>A posted voucher is corrected by a reversal</t>
        </is>
      </c>
      <c r="D46" s="2" t="inlineStr">
        <is>
          <t>voucher</t>
        </is>
      </c>
      <c r="E46" s="2" t="inlineStr">
        <is>
          <t>Posted: reverse, to Reversed</t>
        </is>
      </c>
      <c r="F46" s="2" t="inlineStr">
        <is>
          <t>R2</t>
        </is>
      </c>
      <c r="G46" s="2" t="inlineStr">
        <is>
          <t>T12, T13</t>
        </is>
      </c>
      <c r="H46" s="2" t="inlineStr">
        <is>
          <t>D10</t>
        </is>
      </c>
      <c r="I46" s="2" t="inlineStr">
        <is>
          <t>Given receipt voucher "RV-0907" is "Posted"
When the chief accountant reverses it with the reason "Wrong customer"</t>
        </is>
      </c>
      <c r="J46" s="2" t="inlineStr">
        <is>
          <t>Then receipt voucher "RV-0907" shows the state "Reversed"
And a reversing voucher for 12,400.00 is posted
And both vouchers stay in the sequence</t>
        </is>
      </c>
      <c r="K46" s="3" t="inlineStr"/>
      <c r="L46" s="3" t="inlineStr"/>
      <c r="M46" s="3" t="inlineStr">
        <is>
          <t>Chief accountant</t>
        </is>
      </c>
      <c r="N46" s="3" t="inlineStr"/>
    </row>
    <row r="47">
      <c r="A47" s="2" t="inlineStr">
        <is>
          <t>UAT-46</t>
        </is>
      </c>
      <c r="B47" s="2" t="inlineStr">
        <is>
          <t>voucher-posting</t>
        </is>
      </c>
      <c r="C47" s="2" t="inlineStr">
        <is>
          <t>A posted voucher cannot be edited</t>
        </is>
      </c>
      <c r="D47" s="2" t="inlineStr">
        <is>
          <t>voucher</t>
        </is>
      </c>
      <c r="E47" s="2" t="inlineStr">
        <is>
          <t>refused in Posted: edit</t>
        </is>
      </c>
      <c r="F47" s="2" t="inlineStr">
        <is>
          <t>R2</t>
        </is>
      </c>
      <c r="G47" s="2" t="inlineStr">
        <is>
          <t>T12, T13</t>
        </is>
      </c>
      <c r="H47" s="2" t="inlineStr">
        <is>
          <t>D10</t>
        </is>
      </c>
      <c r="I47" s="2" t="inlineStr">
        <is>
          <t>Given receipt voucher "RV-0907" is "Posted"
When the accountant tries to change its amount to 12,000.00</t>
        </is>
      </c>
      <c r="J47" s="2" t="inlineStr">
        <is>
          <t>Then the change is refused
And the accountant sees "A posted voucher is locked. Reverse it instead."</t>
        </is>
      </c>
      <c r="K47" s="3" t="inlineStr"/>
      <c r="L47" s="3" t="inlineStr"/>
      <c r="M47" s="3" t="inlineStr">
        <is>
          <t>Accountant</t>
        </is>
      </c>
      <c r="N47" s="3" t="inlineStr"/>
    </row>
    <row r="48">
      <c r="A48" s="2" t="inlineStr">
        <is>
          <t>UAT-47</t>
        </is>
      </c>
      <c r="B48" s="2" t="inlineStr">
        <is>
          <t>voucher-posting</t>
        </is>
      </c>
      <c r="C48" s="2" t="inlineStr">
        <is>
          <t>A saved voucher cannot be deleted</t>
        </is>
      </c>
      <c r="D48" s="2" t="inlineStr">
        <is>
          <t>voucher</t>
        </is>
      </c>
      <c r="E48" s="2" t="inlineStr">
        <is>
          <t>refused in Saved: delete</t>
        </is>
      </c>
      <c r="F48" s="2" t="inlineStr">
        <is>
          <t>R1</t>
        </is>
      </c>
      <c r="G48" s="2" t="inlineStr">
        <is>
          <t>T12, T13</t>
        </is>
      </c>
      <c r="H48" s="2" t="inlineStr">
        <is>
          <t>D10</t>
        </is>
      </c>
      <c r="I48" s="2" t="inlineStr">
        <is>
          <t>Given receipt voucher "RV-0911" is "Saved"
When the accountant tries to delete it</t>
        </is>
      </c>
      <c r="J48" s="2" t="inlineStr">
        <is>
          <t>Then the deletion is refused
And the accountant sees "Nothing is ever deleted. Void it instead."</t>
        </is>
      </c>
      <c r="K48" s="3" t="inlineStr"/>
      <c r="L48" s="3" t="inlineStr"/>
      <c r="M48" s="3" t="inlineStr">
        <is>
          <t>Accountant</t>
        </is>
      </c>
      <c r="N48" s="3" t="inlineStr"/>
    </row>
  </sheetData>
  <conditionalFormatting sqref="L2:L48">
    <cfRule type="cellIs" priority="1" operator="equal" dxfId="0">
      <formula>"Pass"</formula>
    </cfRule>
    <cfRule type="cellIs" priority="2" operator="equal" dxfId="1">
      <formula>"Fail"</formula>
    </cfRule>
  </conditionalFormatting>
  <dataValidations count="1">
    <dataValidation sqref="L2:L48" showDropDown="0" showInputMessage="0" showErrorMessage="1" allowBlank="1" errorTitle="Result" error="Choose Pass, Fail or Blocked." type="list">
      <formula1>"Pass,Fail,Blocked"</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16" customWidth="1" min="3" max="3"/>
    <col width="44" customWidth="1" min="4" max="4"/>
    <col width="10" customWidth="1" min="5" max="5"/>
    <col width="9" customWidth="1" min="6" max="6"/>
    <col width="9" customWidth="1" min="7" max="7"/>
    <col width="12" customWidth="1" min="8" max="8"/>
    <col width="12" customWidth="1" min="9" max="9"/>
    <col width="20" customWidth="1" min="10" max="10"/>
    <col width="12" customWidth="1" min="11" max="11"/>
    <col width="30" customWidth="1" min="12" max="12"/>
  </cols>
  <sheetData>
    <row r="1">
      <c r="A1" s="1" t="inlineStr">
        <is>
          <t>Story</t>
        </is>
      </c>
      <c r="B1" s="1" t="inlineStr">
        <is>
          <t>Feature</t>
        </is>
      </c>
      <c r="C1" s="1" t="inlineStr">
        <is>
          <t>Owning department</t>
        </is>
      </c>
      <c r="D1" s="1" t="inlineStr">
        <is>
          <t>Signs</t>
        </is>
      </c>
      <c r="E1" s="1" t="inlineStr">
        <is>
          <t>Scenarios</t>
        </is>
      </c>
      <c r="F1" s="1" t="inlineStr">
        <is>
          <t>Passed</t>
        </is>
      </c>
      <c r="G1" s="1" t="inlineStr">
        <is>
          <t>Failed</t>
        </is>
      </c>
      <c r="H1" s="1" t="inlineStr">
        <is>
          <t>Open severity 1 defects</t>
        </is>
      </c>
      <c r="I1" s="1" t="inlineStr">
        <is>
          <t>Decision</t>
        </is>
      </c>
      <c r="J1" s="1" t="inlineStr">
        <is>
          <t>Signed by (role)</t>
        </is>
      </c>
      <c r="K1" s="1" t="inlineStr">
        <is>
          <t>Date</t>
        </is>
      </c>
      <c r="L1" s="1" t="inlineStr">
        <is>
          <t>Note</t>
        </is>
      </c>
    </row>
    <row r="2">
      <c r="A2" s="2" t="inlineStr">
        <is>
          <t>delivery-trip</t>
        </is>
      </c>
      <c r="B2" s="2" t="inlineStr">
        <is>
          <t>Ship exactly what was planned, and freeze what was delivered</t>
        </is>
      </c>
      <c r="C2" s="2" t="inlineStr">
        <is>
          <t>Logistics</t>
        </is>
      </c>
      <c r="D2" s="2" t="inlineStr">
        <is>
          <t>Logistics lead (D14)</t>
        </is>
      </c>
      <c r="E2" s="2">
        <f>COUNTIFS(UAT!$B$2:$B$48,A2)</f>
        <v/>
      </c>
      <c r="F2" s="2">
        <f>COUNTIFS(UAT!$B$2:$B$48,A2,UAT!$L$2:$L$48,"Pass")</f>
        <v/>
      </c>
      <c r="G2" s="2">
        <f>COUNTIFS(UAT!$B$2:$B$48,A2,UAT!$L$2:$L$48,"Fail")</f>
        <v/>
      </c>
      <c r="H2" s="2">
        <f>COUNTIFS(Defects!$C$2:$C$31,A2,Defects!$D$2:$D$31,"1",Defects!$H$2:$H$31,"&lt;&gt;Closed")</f>
        <v/>
      </c>
      <c r="I2" s="3" t="inlineStr"/>
      <c r="J2" s="3" t="inlineStr"/>
      <c r="K2" s="3" t="inlineStr"/>
      <c r="L2" s="3" t="inlineStr"/>
    </row>
    <row r="3">
      <c r="A3" s="2" t="inlineStr">
        <is>
          <t>material-request</t>
        </is>
      </c>
      <c r="B3" s="2" t="inlineStr">
        <is>
          <t>Issue materials to the workshop, and never cancel what has left the warehouse</t>
        </is>
      </c>
      <c r="C3" s="2" t="inlineStr">
        <is>
          <t>Production</t>
        </is>
      </c>
      <c r="D3" s="2" t="inlineStr">
        <is>
          <t>Factory manager (material requests and issues, D6)</t>
        </is>
      </c>
      <c r="E3" s="2">
        <f>COUNTIFS(UAT!$B$2:$B$48,A3)</f>
        <v/>
      </c>
      <c r="F3" s="2">
        <f>COUNTIFS(UAT!$B$2:$B$48,A3,UAT!$L$2:$L$48,"Pass")</f>
        <v/>
      </c>
      <c r="G3" s="2">
        <f>COUNTIFS(UAT!$B$2:$B$48,A3,UAT!$L$2:$L$48,"Fail")</f>
        <v/>
      </c>
      <c r="H3" s="2">
        <f>COUNTIFS(Defects!$C$2:$C$31,A3,Defects!$D$2:$D$31,"1",Defects!$H$2:$H$31,"&lt;&gt;Closed")</f>
        <v/>
      </c>
      <c r="I3" s="3" t="inlineStr"/>
      <c r="J3" s="3" t="inlineStr"/>
      <c r="K3" s="3" t="inlineStr"/>
      <c r="L3" s="3" t="inlineStr"/>
    </row>
    <row r="4">
      <c r="A4" s="2" t="inlineStr">
        <is>
          <t>order-closure</t>
        </is>
      </c>
      <c r="B4" s="2" t="inlineStr">
        <is>
          <t>Close an order the right way for how far it got</t>
        </is>
      </c>
      <c r="C4" s="2" t="inlineStr">
        <is>
          <t>Sales</t>
        </is>
      </c>
      <c r="D4" s="2" t="inlineStr">
        <is>
          <t>Sales lead, with the logistics lead (closure rules, D6)</t>
        </is>
      </c>
      <c r="E4" s="2">
        <f>COUNTIFS(UAT!$B$2:$B$48,A4)</f>
        <v/>
      </c>
      <c r="F4" s="2">
        <f>COUNTIFS(UAT!$B$2:$B$48,A4,UAT!$L$2:$L$48,"Pass")</f>
        <v/>
      </c>
      <c r="G4" s="2">
        <f>COUNTIFS(UAT!$B$2:$B$48,A4,UAT!$L$2:$L$48,"Fail")</f>
        <v/>
      </c>
      <c r="H4" s="2">
        <f>COUNTIFS(Defects!$C$2:$C$31,A4,Defects!$D$2:$D$31,"1",Defects!$H$2:$H$31,"&lt;&gt;Closed")</f>
        <v/>
      </c>
      <c r="I4" s="3" t="inlineStr"/>
      <c r="J4" s="3" t="inlineStr"/>
      <c r="K4" s="3" t="inlineStr"/>
      <c r="L4" s="3" t="inlineStr"/>
    </row>
    <row r="5">
      <c r="A5" s="2" t="inlineStr">
        <is>
          <t>order-lifecycle</t>
        </is>
      </c>
      <c r="B5" s="2" t="inlineStr">
        <is>
          <t>Take a sales order from request to logistics</t>
        </is>
      </c>
      <c r="C5" s="2" t="inlineStr">
        <is>
          <t>Sales</t>
        </is>
      </c>
      <c r="D5" s="2" t="inlineStr">
        <is>
          <t>Sales lead</t>
        </is>
      </c>
      <c r="E5" s="2">
        <f>COUNTIFS(UAT!$B$2:$B$48,A5)</f>
        <v/>
      </c>
      <c r="F5" s="2">
        <f>COUNTIFS(UAT!$B$2:$B$48,A5,UAT!$L$2:$L$48,"Pass")</f>
        <v/>
      </c>
      <c r="G5" s="2">
        <f>COUNTIFS(UAT!$B$2:$B$48,A5,UAT!$L$2:$L$48,"Fail")</f>
        <v/>
      </c>
      <c r="H5" s="2">
        <f>COUNTIFS(Defects!$C$2:$C$31,A5,Defects!$D$2:$D$31,"1",Defects!$H$2:$H$31,"&lt;&gt;Closed")</f>
        <v/>
      </c>
      <c r="I5" s="3" t="inlineStr"/>
      <c r="J5" s="3" t="inlineStr"/>
      <c r="K5" s="3" t="inlineStr"/>
      <c r="L5" s="3" t="inlineStr"/>
    </row>
    <row r="6">
      <c r="A6" s="2" t="inlineStr">
        <is>
          <t>purchase-order</t>
        </is>
      </c>
      <c r="B6" s="2" t="inlineStr">
        <is>
          <t>Buy materials without an approval step inside the system</t>
        </is>
      </c>
      <c r="C6" s="2" t="inlineStr">
        <is>
          <t>Purchasing</t>
        </is>
      </c>
      <c r="D6" s="2" t="inlineStr">
        <is>
          <t>Logistics manager, who signs purchase orders on paper (D9)</t>
        </is>
      </c>
      <c r="E6" s="2">
        <f>COUNTIFS(UAT!$B$2:$B$48,A6)</f>
        <v/>
      </c>
      <c r="F6" s="2">
        <f>COUNTIFS(UAT!$B$2:$B$48,A6,UAT!$L$2:$L$48,"Pass")</f>
        <v/>
      </c>
      <c r="G6" s="2">
        <f>COUNTIFS(UAT!$B$2:$B$48,A6,UAT!$L$2:$L$48,"Fail")</f>
        <v/>
      </c>
      <c r="H6" s="2">
        <f>COUNTIFS(Defects!$C$2:$C$31,A6,Defects!$D$2:$D$31,"1",Defects!$H$2:$H$31,"&lt;&gt;Closed")</f>
        <v/>
      </c>
      <c r="I6" s="3" t="inlineStr"/>
      <c r="J6" s="3" t="inlineStr"/>
      <c r="K6" s="3" t="inlineStr"/>
      <c r="L6" s="3" t="inlineStr"/>
    </row>
    <row r="7">
      <c r="A7" s="2" t="inlineStr">
        <is>
          <t>receivables</t>
        </is>
      </c>
      <c r="B7" s="2" t="inlineStr">
        <is>
          <t>Invoice every trip, and collect each invoice on its contract's terms</t>
        </is>
      </c>
      <c r="C7" s="2" t="inlineStr">
        <is>
          <t>Accounting</t>
        </is>
      </c>
      <c r="D7" s="2" t="inlineStr">
        <is>
          <t>Chief accountant (payment terms, credit hold and collection, D17)</t>
        </is>
      </c>
      <c r="E7" s="2">
        <f>COUNTIFS(UAT!$B$2:$B$48,A7)</f>
        <v/>
      </c>
      <c r="F7" s="2">
        <f>COUNTIFS(UAT!$B$2:$B$48,A7,UAT!$L$2:$L$48,"Pass")</f>
        <v/>
      </c>
      <c r="G7" s="2">
        <f>COUNTIFS(UAT!$B$2:$B$48,A7,UAT!$L$2:$L$48,"Fail")</f>
        <v/>
      </c>
      <c r="H7" s="2">
        <f>COUNTIFS(Defects!$C$2:$C$31,A7,Defects!$D$2:$D$31,"1",Defects!$H$2:$H$31,"&lt;&gt;Closed")</f>
        <v/>
      </c>
      <c r="I7" s="3" t="inlineStr"/>
      <c r="J7" s="3" t="inlineStr"/>
      <c r="K7" s="3" t="inlineStr"/>
      <c r="L7" s="3" t="inlineStr"/>
    </row>
    <row r="8">
      <c r="A8" s="2" t="inlineStr">
        <is>
          <t>sale-statuses</t>
        </is>
      </c>
      <c r="B8" s="2" t="inlineStr">
        <is>
          <t>See how far a sale has got: invoiced, delivered, paid</t>
        </is>
      </c>
      <c r="C8" s="2" t="inlineStr">
        <is>
          <t>Accounting</t>
        </is>
      </c>
      <c r="D8" s="2" t="inlineStr">
        <is>
          <t>Finance lead (legal status combinations, D8)</t>
        </is>
      </c>
      <c r="E8" s="2">
        <f>COUNTIFS(UAT!$B$2:$B$48,A8)</f>
        <v/>
      </c>
      <c r="F8" s="2">
        <f>COUNTIFS(UAT!$B$2:$B$48,A8,UAT!$L$2:$L$48,"Pass")</f>
        <v/>
      </c>
      <c r="G8" s="2">
        <f>COUNTIFS(UAT!$B$2:$B$48,A8,UAT!$L$2:$L$48,"Fail")</f>
        <v/>
      </c>
      <c r="H8" s="2">
        <f>COUNTIFS(Defects!$C$2:$C$31,A8,Defects!$D$2:$D$31,"1",Defects!$H$2:$H$31,"&lt;&gt;Closed")</f>
        <v/>
      </c>
      <c r="I8" s="3" t="inlineStr"/>
      <c r="J8" s="3" t="inlineStr"/>
      <c r="K8" s="3" t="inlineStr"/>
      <c r="L8" s="3" t="inlineStr"/>
    </row>
    <row r="9">
      <c r="A9" s="2" t="inlineStr">
        <is>
          <t>voucher-posting</t>
        </is>
      </c>
      <c r="B9" s="2" t="inlineStr">
        <is>
          <t>Save, post and correct accounting vouchers without ever deleting one</t>
        </is>
      </c>
      <c r="C9" s="2" t="inlineStr">
        <is>
          <t>Accounting</t>
        </is>
      </c>
      <c r="D9" s="2" t="inlineStr">
        <is>
          <t>Chief accountant (posting policy, D10)</t>
        </is>
      </c>
      <c r="E9" s="2">
        <f>COUNTIFS(UAT!$B$2:$B$48,A9)</f>
        <v/>
      </c>
      <c r="F9" s="2">
        <f>COUNTIFS(UAT!$B$2:$B$48,A9,UAT!$L$2:$L$48,"Pass")</f>
        <v/>
      </c>
      <c r="G9" s="2">
        <f>COUNTIFS(UAT!$B$2:$B$48,A9,UAT!$L$2:$L$48,"Fail")</f>
        <v/>
      </c>
      <c r="H9" s="2">
        <f>COUNTIFS(Defects!$C$2:$C$31,A9,Defects!$D$2:$D$31,"1",Defects!$H$2:$H$31,"&lt;&gt;Closed")</f>
        <v/>
      </c>
      <c r="I9" s="3" t="inlineStr"/>
      <c r="J9" s="3" t="inlineStr"/>
      <c r="K9" s="3" t="inlineStr"/>
      <c r="L9" s="3" t="inlineStr"/>
    </row>
  </sheetData>
  <dataValidations count="1">
    <dataValidation sqref="I2:I9" showDropDown="0" showInputMessage="0" showErrorMessage="1" allowBlank="1" errorTitle="Decision" error="Choose Accept, Accept with conditions or Reject." type="list">
      <formula1>"Accept,Accept with conditions,Reject"</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4" customWidth="1" min="3" max="3"/>
    <col width="60" customWidth="1" min="4" max="4"/>
  </cols>
  <sheetData>
    <row r="1">
      <c r="A1" s="1" t="inlineStr">
        <is>
          <t>Record</t>
        </is>
      </c>
      <c r="B1" s="1" t="inlineStr">
        <is>
          <t>Kind</t>
        </is>
      </c>
      <c r="C1" s="1" t="inlineStr">
        <is>
          <t>Start it in</t>
        </is>
      </c>
      <c r="D1" s="1" t="inlineStr">
        <is>
          <t>Used by rows</t>
        </is>
      </c>
    </row>
    <row r="2">
      <c r="A2" s="2" t="inlineStr">
        <is>
          <t>C-104</t>
        </is>
      </c>
      <c r="B2" s="2" t="inlineStr">
        <is>
          <t>customer</t>
        </is>
      </c>
      <c r="C2" s="2" t="inlineStr">
        <is>
          <t>as the row's steps say</t>
        </is>
      </c>
      <c r="D2" s="2" t="inlineStr">
        <is>
          <t>UAT-17, UAT-18, UAT-19, UAT-20, UAT-21, UAT-22, UAT-30, UAT-31, UAT-32, UAT-33, UAT-34, UAT-35, UAT-36, UAT-37, UAT-38, UAT-39, UAT-40, UAT-41, UAT-42, UAT-43, UAT-44</t>
        </is>
      </c>
    </row>
    <row r="3">
      <c r="A3" s="2" t="inlineStr">
        <is>
          <t>K-104-2</t>
        </is>
      </c>
      <c r="B3" s="2" t="inlineStr">
        <is>
          <t>customer contract</t>
        </is>
      </c>
      <c r="C3" s="2" t="inlineStr">
        <is>
          <t>as the row's steps say</t>
        </is>
      </c>
      <c r="D3" s="2" t="inlineStr">
        <is>
          <t>UAT-19, UAT-20, UAT-30, UAT-31, UAT-32, UAT-33, UAT-34, UAT-35, UAT-36, UAT-37, UAT-38, UAT-39, UAT-40, UAT-41, UAT-42</t>
        </is>
      </c>
    </row>
    <row r="4">
      <c r="A4" s="2" t="inlineStr">
        <is>
          <t>TR-118</t>
        </is>
      </c>
      <c r="B4" s="2" t="inlineStr">
        <is>
          <t>delivery trip</t>
        </is>
      </c>
      <c r="C4" s="2" t="inlineStr">
        <is>
          <t>In transit, Issued, Planned</t>
        </is>
      </c>
      <c r="D4" s="2" t="inlineStr">
        <is>
          <t>UAT-01, UAT-02, UAT-03, UAT-04, UAT-05, UAT-06</t>
        </is>
      </c>
    </row>
    <row r="5">
      <c r="A5" s="2" t="inlineStr">
        <is>
          <t>TR-131</t>
        </is>
      </c>
      <c r="B5" s="2" t="inlineStr">
        <is>
          <t>delivery trip</t>
        </is>
      </c>
      <c r="C5" s="2" t="inlineStr">
        <is>
          <t>Issued</t>
        </is>
      </c>
      <c r="D5" s="2" t="inlineStr">
        <is>
          <t>UAT-30, UAT-31, UAT-32, UAT-33, UAT-34, UAT-35, UAT-36, UAT-37, UAT-38, UAT-39, UAT-40, UAT-41, UAT-42</t>
        </is>
      </c>
    </row>
    <row r="6">
      <c r="A6" s="2" t="inlineStr">
        <is>
          <t>TR-132</t>
        </is>
      </c>
      <c r="B6" s="2" t="inlineStr">
        <is>
          <t>delivery trip</t>
        </is>
      </c>
      <c r="C6" s="2" t="inlineStr">
        <is>
          <t>Planned</t>
        </is>
      </c>
      <c r="D6" s="2" t="inlineStr">
        <is>
          <t>UAT-31, UAT-37, UAT-38, UAT-39, UAT-40, UAT-41, UAT-42</t>
        </is>
      </c>
    </row>
    <row r="7">
      <c r="A7" s="2" t="inlineStr">
        <is>
          <t>MR-310</t>
        </is>
      </c>
      <c r="B7" s="2" t="inlineStr">
        <is>
          <t>material request</t>
        </is>
      </c>
      <c r="C7" s="2" t="inlineStr">
        <is>
          <t>Issuing, Open</t>
        </is>
      </c>
      <c r="D7" s="2" t="inlineStr">
        <is>
          <t>UAT-07, UAT-08, UAT-09, UAT-10, UAT-11, UAT-12</t>
        </is>
      </c>
    </row>
    <row r="8">
      <c r="A8" s="2" t="inlineStr">
        <is>
          <t>MR-311</t>
        </is>
      </c>
      <c r="B8" s="2" t="inlineStr">
        <is>
          <t>material request</t>
        </is>
      </c>
      <c r="C8" s="2" t="inlineStr">
        <is>
          <t>Open</t>
        </is>
      </c>
      <c r="D8" s="2" t="inlineStr">
        <is>
          <t>UAT-12</t>
        </is>
      </c>
    </row>
    <row r="9">
      <c r="A9" s="2" t="inlineStr">
        <is>
          <t>PO-5110</t>
        </is>
      </c>
      <c r="B9" s="2" t="inlineStr">
        <is>
          <t>purchase order</t>
        </is>
      </c>
      <c r="C9" s="2" t="inlineStr">
        <is>
          <t>Open, Received</t>
        </is>
      </c>
      <c r="D9" s="2" t="inlineStr">
        <is>
          <t>UAT-23, UAT-24, UAT-25, UAT-26, UAT-28, UAT-29</t>
        </is>
      </c>
    </row>
    <row r="10">
      <c r="A10" s="2" t="inlineStr">
        <is>
          <t>PO-5120</t>
        </is>
      </c>
      <c r="B10" s="2" t="inlineStr">
        <is>
          <t>purchase order</t>
        </is>
      </c>
      <c r="C10" s="2" t="inlineStr">
        <is>
          <t>as the row's steps say</t>
        </is>
      </c>
      <c r="D10" s="2" t="inlineStr">
        <is>
          <t>UAT-27</t>
        </is>
      </c>
    </row>
    <row r="11">
      <c r="A11" s="2" t="inlineStr">
        <is>
          <t>INV-390</t>
        </is>
      </c>
      <c r="B11" s="2" t="inlineStr">
        <is>
          <t>sales invoice</t>
        </is>
      </c>
      <c r="C11" s="2" t="inlineStr">
        <is>
          <t>Raised</t>
        </is>
      </c>
      <c r="D11" s="2" t="inlineStr">
        <is>
          <t>UAT-02</t>
        </is>
      </c>
    </row>
    <row r="12">
      <c r="A12" s="2" t="inlineStr">
        <is>
          <t>INV-401</t>
        </is>
      </c>
      <c r="B12" s="2" t="inlineStr">
        <is>
          <t>sales invoice</t>
        </is>
      </c>
      <c r="C12" s="2" t="inlineStr">
        <is>
          <t>Raised</t>
        </is>
      </c>
      <c r="D12" s="2" t="inlineStr">
        <is>
          <t>UAT-30, UAT-32, UAT-35, UAT-36</t>
        </is>
      </c>
    </row>
    <row r="13">
      <c r="A13" s="2" t="inlineStr">
        <is>
          <t>INV-402</t>
        </is>
      </c>
      <c r="B13" s="2" t="inlineStr">
        <is>
          <t>sales invoice</t>
        </is>
      </c>
      <c r="C13" s="2" t="inlineStr">
        <is>
          <t>Partly paid, Raised</t>
        </is>
      </c>
      <c r="D13" s="2" t="inlineStr">
        <is>
          <t>UAT-32, UAT-33</t>
        </is>
      </c>
    </row>
    <row r="14">
      <c r="A14" s="2" t="inlineStr">
        <is>
          <t>INV-405</t>
        </is>
      </c>
      <c r="B14" s="2" t="inlineStr">
        <is>
          <t>sales invoice</t>
        </is>
      </c>
      <c r="C14" s="2" t="inlineStr">
        <is>
          <t>Raised</t>
        </is>
      </c>
      <c r="D14" s="2" t="inlineStr">
        <is>
          <t>UAT-34</t>
        </is>
      </c>
    </row>
    <row r="15">
      <c r="A15" s="2" t="inlineStr">
        <is>
          <t>SO-2031</t>
        </is>
      </c>
      <c r="B15" s="2" t="inlineStr">
        <is>
          <t>sales order</t>
        </is>
      </c>
      <c r="C15" s="2" t="inlineStr">
        <is>
          <t>Open, With logistics</t>
        </is>
      </c>
      <c r="D15" s="2" t="inlineStr">
        <is>
          <t>UAT-21, UAT-22</t>
        </is>
      </c>
    </row>
    <row r="16">
      <c r="A16" s="2" t="inlineStr">
        <is>
          <t>SO-2040</t>
        </is>
      </c>
      <c r="B16" s="2" t="inlineStr">
        <is>
          <t>sales order</t>
        </is>
      </c>
      <c r="C16" s="2" t="inlineStr">
        <is>
          <t>Cancelled, Open</t>
        </is>
      </c>
      <c r="D16" s="2" t="inlineStr">
        <is>
          <t>UAT-13, UAT-15</t>
        </is>
      </c>
    </row>
    <row r="17">
      <c r="A17" s="2" t="inlineStr">
        <is>
          <t>SO-2041</t>
        </is>
      </c>
      <c r="B17" s="2" t="inlineStr">
        <is>
          <t>sales order</t>
        </is>
      </c>
      <c r="C17" s="2" t="inlineStr">
        <is>
          <t>In production</t>
        </is>
      </c>
      <c r="D17" s="2" t="inlineStr">
        <is>
          <t>UAT-14, UAT-16</t>
        </is>
      </c>
    </row>
    <row r="18">
      <c r="A18" s="2" t="inlineStr">
        <is>
          <t>SO-2050</t>
        </is>
      </c>
      <c r="B18" s="2" t="inlineStr">
        <is>
          <t>sales order</t>
        </is>
      </c>
      <c r="C18" s="2" t="inlineStr">
        <is>
          <t>Receiving and shipping</t>
        </is>
      </c>
      <c r="D18" s="2" t="inlineStr">
        <is>
          <t>UAT-01, UAT-02, UAT-03, UAT-04, UAT-05, UAT-06</t>
        </is>
      </c>
    </row>
    <row r="19">
      <c r="A19" s="2" t="inlineStr">
        <is>
          <t>SO-2060</t>
        </is>
      </c>
      <c r="B19" s="2" t="inlineStr">
        <is>
          <t>sales order</t>
        </is>
      </c>
      <c r="C19" s="2" t="inlineStr">
        <is>
          <t>as the row's steps say</t>
        </is>
      </c>
      <c r="D19" s="2" t="inlineStr">
        <is>
          <t>UAT-30, UAT-31, UAT-32, UAT-33, UAT-34, UAT-35, UAT-36, UAT-37, UAT-38, UAT-39, UAT-40, UAT-41, UAT-42</t>
        </is>
      </c>
    </row>
    <row r="20">
      <c r="A20" s="2" t="inlineStr">
        <is>
          <t>SO-2070</t>
        </is>
      </c>
      <c r="B20" s="2" t="inlineStr">
        <is>
          <t>sales order</t>
        </is>
      </c>
      <c r="C20" s="2" t="inlineStr">
        <is>
          <t>In production</t>
        </is>
      </c>
      <c r="D20" s="2" t="inlineStr">
        <is>
          <t>UAT-07, UAT-08, UAT-09, UAT-10, UAT-11, UAT-12</t>
        </is>
      </c>
    </row>
    <row r="21">
      <c r="A21" s="2" t="inlineStr">
        <is>
          <t>V-07</t>
        </is>
      </c>
      <c r="B21" s="2" t="inlineStr">
        <is>
          <t>supplier</t>
        </is>
      </c>
      <c r="C21" s="2" t="inlineStr">
        <is>
          <t>as the row's steps say</t>
        </is>
      </c>
      <c r="D21" s="2" t="inlineStr">
        <is>
          <t>UAT-23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6" customWidth="1" min="3" max="3"/>
    <col width="9" customWidth="1" min="4" max="4"/>
    <col width="44" customWidth="1" min="5" max="5"/>
    <col width="16" customWidth="1" min="6" max="6"/>
    <col width="16" customWidth="1" min="7" max="7"/>
    <col width="10" customWidth="1" min="8" max="8"/>
    <col width="12" customWidth="1" min="9" max="9"/>
    <col width="12" customWidth="1" min="10" max="10"/>
  </cols>
  <sheetData>
    <row r="1">
      <c r="A1" s="1" t="inlineStr">
        <is>
          <t>Defect</t>
        </is>
      </c>
      <c r="B1" s="1" t="inlineStr">
        <is>
          <t>UAT row</t>
        </is>
      </c>
      <c r="C1" s="1" t="inlineStr">
        <is>
          <t>Story</t>
        </is>
      </c>
      <c r="D1" s="1" t="inlineStr">
        <is>
          <t>Severity</t>
        </is>
      </c>
      <c r="E1" s="1" t="inlineStr">
        <is>
          <t>What happened</t>
        </is>
      </c>
      <c r="F1" s="1" t="inlineStr">
        <is>
          <t>Found by (role)</t>
        </is>
      </c>
      <c r="G1" s="1" t="inlineStr">
        <is>
          <t>Owner</t>
        </is>
      </c>
      <c r="H1" s="1" t="inlineStr">
        <is>
          <t>Status</t>
        </is>
      </c>
      <c r="I1" s="1" t="inlineStr">
        <is>
          <t>Date found</t>
        </is>
      </c>
      <c r="J1" s="1" t="inlineStr">
        <is>
          <t>Date closed</t>
        </is>
      </c>
    </row>
    <row r="2">
      <c r="A2" s="2" t="inlineStr">
        <is>
          <t>DEF-01</t>
        </is>
      </c>
      <c r="B2" s="3" t="inlineStr"/>
      <c r="C2" s="2">
        <f>IF(B2="","",IFERROR(INDEX(UAT!$B$2:$B$48,MATCH(B2,UAT!$A$2:$A$48,0)),"not a UAT row"))</f>
        <v/>
      </c>
      <c r="D2" s="3" t="inlineStr"/>
      <c r="E2" s="3" t="inlineStr"/>
      <c r="F2" s="3" t="inlineStr"/>
      <c r="G2" s="3" t="inlineStr"/>
      <c r="H2" s="3" t="inlineStr"/>
      <c r="I2" s="3" t="inlineStr"/>
      <c r="J2" s="3" t="inlineStr"/>
    </row>
    <row r="3">
      <c r="A3" s="2" t="inlineStr">
        <is>
          <t>DEF-02</t>
        </is>
      </c>
      <c r="B3" s="3" t="inlineStr"/>
      <c r="C3" s="2">
        <f>IF(B3="","",IFERROR(INDEX(UAT!$B$2:$B$48,MATCH(B3,UAT!$A$2:$A$48,0)),"not a UAT row"))</f>
        <v/>
      </c>
      <c r="D3" s="3" t="inlineStr"/>
      <c r="E3" s="3" t="inlineStr"/>
      <c r="F3" s="3" t="inlineStr"/>
      <c r="G3" s="3" t="inlineStr"/>
      <c r="H3" s="3" t="inlineStr"/>
      <c r="I3" s="3" t="inlineStr"/>
      <c r="J3" s="3" t="inlineStr"/>
    </row>
    <row r="4">
      <c r="A4" s="2" t="inlineStr">
        <is>
          <t>DEF-03</t>
        </is>
      </c>
      <c r="B4" s="3" t="inlineStr"/>
      <c r="C4" s="2">
        <f>IF(B4="","",IFERROR(INDEX(UAT!$B$2:$B$48,MATCH(B4,UAT!$A$2:$A$48,0)),"not a UAT row"))</f>
        <v/>
      </c>
      <c r="D4" s="3" t="inlineStr"/>
      <c r="E4" s="3" t="inlineStr"/>
      <c r="F4" s="3" t="inlineStr"/>
      <c r="G4" s="3" t="inlineStr"/>
      <c r="H4" s="3" t="inlineStr"/>
      <c r="I4" s="3" t="inlineStr"/>
      <c r="J4" s="3" t="inlineStr"/>
    </row>
    <row r="5">
      <c r="A5" s="2" t="inlineStr">
        <is>
          <t>DEF-04</t>
        </is>
      </c>
      <c r="B5" s="3" t="inlineStr"/>
      <c r="C5" s="2">
        <f>IF(B5="","",IFERROR(INDEX(UAT!$B$2:$B$48,MATCH(B5,UAT!$A$2:$A$48,0)),"not a UAT row"))</f>
        <v/>
      </c>
      <c r="D5" s="3" t="inlineStr"/>
      <c r="E5" s="3" t="inlineStr"/>
      <c r="F5" s="3" t="inlineStr"/>
      <c r="G5" s="3" t="inlineStr"/>
      <c r="H5" s="3" t="inlineStr"/>
      <c r="I5" s="3" t="inlineStr"/>
      <c r="J5" s="3" t="inlineStr"/>
    </row>
    <row r="6">
      <c r="A6" s="2" t="inlineStr">
        <is>
          <t>DEF-05</t>
        </is>
      </c>
      <c r="B6" s="3" t="inlineStr"/>
      <c r="C6" s="2">
        <f>IF(B6="","",IFERROR(INDEX(UAT!$B$2:$B$48,MATCH(B6,UAT!$A$2:$A$48,0)),"not a UAT row"))</f>
        <v/>
      </c>
      <c r="D6" s="3" t="inlineStr"/>
      <c r="E6" s="3" t="inlineStr"/>
      <c r="F6" s="3" t="inlineStr"/>
      <c r="G6" s="3" t="inlineStr"/>
      <c r="H6" s="3" t="inlineStr"/>
      <c r="I6" s="3" t="inlineStr"/>
      <c r="J6" s="3" t="inlineStr"/>
    </row>
    <row r="7">
      <c r="A7" s="2" t="inlineStr">
        <is>
          <t>DEF-06</t>
        </is>
      </c>
      <c r="B7" s="3" t="inlineStr"/>
      <c r="C7" s="2">
        <f>IF(B7="","",IFERROR(INDEX(UAT!$B$2:$B$48,MATCH(B7,UAT!$A$2:$A$48,0)),"not a UAT row"))</f>
        <v/>
      </c>
      <c r="D7" s="3" t="inlineStr"/>
      <c r="E7" s="3" t="inlineStr"/>
      <c r="F7" s="3" t="inlineStr"/>
      <c r="G7" s="3" t="inlineStr"/>
      <c r="H7" s="3" t="inlineStr"/>
      <c r="I7" s="3" t="inlineStr"/>
      <c r="J7" s="3" t="inlineStr"/>
    </row>
    <row r="8">
      <c r="A8" s="2" t="inlineStr">
        <is>
          <t>DEF-07</t>
        </is>
      </c>
      <c r="B8" s="3" t="inlineStr"/>
      <c r="C8" s="2">
        <f>IF(B8="","",IFERROR(INDEX(UAT!$B$2:$B$48,MATCH(B8,UAT!$A$2:$A$48,0)),"not a UAT row"))</f>
        <v/>
      </c>
      <c r="D8" s="3" t="inlineStr"/>
      <c r="E8" s="3" t="inlineStr"/>
      <c r="F8" s="3" t="inlineStr"/>
      <c r="G8" s="3" t="inlineStr"/>
      <c r="H8" s="3" t="inlineStr"/>
      <c r="I8" s="3" t="inlineStr"/>
      <c r="J8" s="3" t="inlineStr"/>
    </row>
    <row r="9">
      <c r="A9" s="2" t="inlineStr">
        <is>
          <t>DEF-08</t>
        </is>
      </c>
      <c r="B9" s="3" t="inlineStr"/>
      <c r="C9" s="2">
        <f>IF(B9="","",IFERROR(INDEX(UAT!$B$2:$B$48,MATCH(B9,UAT!$A$2:$A$48,0)),"not a UAT row"))</f>
        <v/>
      </c>
      <c r="D9" s="3" t="inlineStr"/>
      <c r="E9" s="3" t="inlineStr"/>
      <c r="F9" s="3" t="inlineStr"/>
      <c r="G9" s="3" t="inlineStr"/>
      <c r="H9" s="3" t="inlineStr"/>
      <c r="I9" s="3" t="inlineStr"/>
      <c r="J9" s="3" t="inlineStr"/>
    </row>
    <row r="10">
      <c r="A10" s="2" t="inlineStr">
        <is>
          <t>DEF-09</t>
        </is>
      </c>
      <c r="B10" s="3" t="inlineStr"/>
      <c r="C10" s="2">
        <f>IF(B10="","",IFERROR(INDEX(UAT!$B$2:$B$48,MATCH(B10,UAT!$A$2:$A$48,0)),"not a UAT row"))</f>
        <v/>
      </c>
      <c r="D10" s="3" t="inlineStr"/>
      <c r="E10" s="3" t="inlineStr"/>
      <c r="F10" s="3" t="inlineStr"/>
      <c r="G10" s="3" t="inlineStr"/>
      <c r="H10" s="3" t="inlineStr"/>
      <c r="I10" s="3" t="inlineStr"/>
      <c r="J10" s="3" t="inlineStr"/>
    </row>
    <row r="11">
      <c r="A11" s="2" t="inlineStr">
        <is>
          <t>DEF-10</t>
        </is>
      </c>
      <c r="B11" s="3" t="inlineStr"/>
      <c r="C11" s="2">
        <f>IF(B11="","",IFERROR(INDEX(UAT!$B$2:$B$48,MATCH(B11,UAT!$A$2:$A$48,0)),"not a UAT row"))</f>
        <v/>
      </c>
      <c r="D11" s="3" t="inlineStr"/>
      <c r="E11" s="3" t="inlineStr"/>
      <c r="F11" s="3" t="inlineStr"/>
      <c r="G11" s="3" t="inlineStr"/>
      <c r="H11" s="3" t="inlineStr"/>
      <c r="I11" s="3" t="inlineStr"/>
      <c r="J11" s="3" t="inlineStr"/>
    </row>
    <row r="12">
      <c r="A12" s="2" t="inlineStr">
        <is>
          <t>DEF-11</t>
        </is>
      </c>
      <c r="B12" s="3" t="inlineStr"/>
      <c r="C12" s="2">
        <f>IF(B12="","",IFERROR(INDEX(UAT!$B$2:$B$48,MATCH(B12,UAT!$A$2:$A$48,0)),"not a UAT row"))</f>
        <v/>
      </c>
      <c r="D12" s="3" t="inlineStr"/>
      <c r="E12" s="3" t="inlineStr"/>
      <c r="F12" s="3" t="inlineStr"/>
      <c r="G12" s="3" t="inlineStr"/>
      <c r="H12" s="3" t="inlineStr"/>
      <c r="I12" s="3" t="inlineStr"/>
      <c r="J12" s="3" t="inlineStr"/>
    </row>
    <row r="13">
      <c r="A13" s="2" t="inlineStr">
        <is>
          <t>DEF-12</t>
        </is>
      </c>
      <c r="B13" s="3" t="inlineStr"/>
      <c r="C13" s="2">
        <f>IF(B13="","",IFERROR(INDEX(UAT!$B$2:$B$48,MATCH(B13,UAT!$A$2:$A$48,0)),"not a UAT row"))</f>
        <v/>
      </c>
      <c r="D13" s="3" t="inlineStr"/>
      <c r="E13" s="3" t="inlineStr"/>
      <c r="F13" s="3" t="inlineStr"/>
      <c r="G13" s="3" t="inlineStr"/>
      <c r="H13" s="3" t="inlineStr"/>
      <c r="I13" s="3" t="inlineStr"/>
      <c r="J13" s="3" t="inlineStr"/>
    </row>
    <row r="14">
      <c r="A14" s="2" t="inlineStr">
        <is>
          <t>DEF-13</t>
        </is>
      </c>
      <c r="B14" s="3" t="inlineStr"/>
      <c r="C14" s="2">
        <f>IF(B14="","",IFERROR(INDEX(UAT!$B$2:$B$48,MATCH(B14,UAT!$A$2:$A$48,0)),"not a UAT row"))</f>
        <v/>
      </c>
      <c r="D14" s="3" t="inlineStr"/>
      <c r="E14" s="3" t="inlineStr"/>
      <c r="F14" s="3" t="inlineStr"/>
      <c r="G14" s="3" t="inlineStr"/>
      <c r="H14" s="3" t="inlineStr"/>
      <c r="I14" s="3" t="inlineStr"/>
      <c r="J14" s="3" t="inlineStr"/>
    </row>
    <row r="15">
      <c r="A15" s="2" t="inlineStr">
        <is>
          <t>DEF-14</t>
        </is>
      </c>
      <c r="B15" s="3" t="inlineStr"/>
      <c r="C15" s="2">
        <f>IF(B15="","",IFERROR(INDEX(UAT!$B$2:$B$48,MATCH(B15,UAT!$A$2:$A$48,0)),"not a UAT row"))</f>
        <v/>
      </c>
      <c r="D15" s="3" t="inlineStr"/>
      <c r="E15" s="3" t="inlineStr"/>
      <c r="F15" s="3" t="inlineStr"/>
      <c r="G15" s="3" t="inlineStr"/>
      <c r="H15" s="3" t="inlineStr"/>
      <c r="I15" s="3" t="inlineStr"/>
      <c r="J15" s="3" t="inlineStr"/>
    </row>
    <row r="16">
      <c r="A16" s="2" t="inlineStr">
        <is>
          <t>DEF-15</t>
        </is>
      </c>
      <c r="B16" s="3" t="inlineStr"/>
      <c r="C16" s="2">
        <f>IF(B16="","",IFERROR(INDEX(UAT!$B$2:$B$48,MATCH(B16,UAT!$A$2:$A$48,0)),"not a UAT row"))</f>
        <v/>
      </c>
      <c r="D16" s="3" t="inlineStr"/>
      <c r="E16" s="3" t="inlineStr"/>
      <c r="F16" s="3" t="inlineStr"/>
      <c r="G16" s="3" t="inlineStr"/>
      <c r="H16" s="3" t="inlineStr"/>
      <c r="I16" s="3" t="inlineStr"/>
      <c r="J16" s="3" t="inlineStr"/>
    </row>
    <row r="17">
      <c r="A17" s="2" t="inlineStr">
        <is>
          <t>DEF-16</t>
        </is>
      </c>
      <c r="B17" s="3" t="inlineStr"/>
      <c r="C17" s="2">
        <f>IF(B17="","",IFERROR(INDEX(UAT!$B$2:$B$48,MATCH(B17,UAT!$A$2:$A$48,0)),"not a UAT row"))</f>
        <v/>
      </c>
      <c r="D17" s="3" t="inlineStr"/>
      <c r="E17" s="3" t="inlineStr"/>
      <c r="F17" s="3" t="inlineStr"/>
      <c r="G17" s="3" t="inlineStr"/>
      <c r="H17" s="3" t="inlineStr"/>
      <c r="I17" s="3" t="inlineStr"/>
      <c r="J17" s="3" t="inlineStr"/>
    </row>
    <row r="18">
      <c r="A18" s="2" t="inlineStr">
        <is>
          <t>DEF-17</t>
        </is>
      </c>
      <c r="B18" s="3" t="inlineStr"/>
      <c r="C18" s="2">
        <f>IF(B18="","",IFERROR(INDEX(UAT!$B$2:$B$48,MATCH(B18,UAT!$A$2:$A$48,0)),"not a UAT row"))</f>
        <v/>
      </c>
      <c r="D18" s="3" t="inlineStr"/>
      <c r="E18" s="3" t="inlineStr"/>
      <c r="F18" s="3" t="inlineStr"/>
      <c r="G18" s="3" t="inlineStr"/>
      <c r="H18" s="3" t="inlineStr"/>
      <c r="I18" s="3" t="inlineStr"/>
      <c r="J18" s="3" t="inlineStr"/>
    </row>
    <row r="19">
      <c r="A19" s="2" t="inlineStr">
        <is>
          <t>DEF-18</t>
        </is>
      </c>
      <c r="B19" s="3" t="inlineStr"/>
      <c r="C19" s="2">
        <f>IF(B19="","",IFERROR(INDEX(UAT!$B$2:$B$48,MATCH(B19,UAT!$A$2:$A$48,0)),"not a UAT row"))</f>
        <v/>
      </c>
      <c r="D19" s="3" t="inlineStr"/>
      <c r="E19" s="3" t="inlineStr"/>
      <c r="F19" s="3" t="inlineStr"/>
      <c r="G19" s="3" t="inlineStr"/>
      <c r="H19" s="3" t="inlineStr"/>
      <c r="I19" s="3" t="inlineStr"/>
      <c r="J19" s="3" t="inlineStr"/>
    </row>
    <row r="20">
      <c r="A20" s="2" t="inlineStr">
        <is>
          <t>DEF-19</t>
        </is>
      </c>
      <c r="B20" s="3" t="inlineStr"/>
      <c r="C20" s="2">
        <f>IF(B20="","",IFERROR(INDEX(UAT!$B$2:$B$48,MATCH(B20,UAT!$A$2:$A$48,0)),"not a UAT row"))</f>
        <v/>
      </c>
      <c r="D20" s="3" t="inlineStr"/>
      <c r="E20" s="3" t="inlineStr"/>
      <c r="F20" s="3" t="inlineStr"/>
      <c r="G20" s="3" t="inlineStr"/>
      <c r="H20" s="3" t="inlineStr"/>
      <c r="I20" s="3" t="inlineStr"/>
      <c r="J20" s="3" t="inlineStr"/>
    </row>
    <row r="21">
      <c r="A21" s="2" t="inlineStr">
        <is>
          <t>DEF-20</t>
        </is>
      </c>
      <c r="B21" s="3" t="inlineStr"/>
      <c r="C21" s="2">
        <f>IF(B21="","",IFERROR(INDEX(UAT!$B$2:$B$48,MATCH(B21,UAT!$A$2:$A$48,0)),"not a UAT row"))</f>
        <v/>
      </c>
      <c r="D21" s="3" t="inlineStr"/>
      <c r="E21" s="3" t="inlineStr"/>
      <c r="F21" s="3" t="inlineStr"/>
      <c r="G21" s="3" t="inlineStr"/>
      <c r="H21" s="3" t="inlineStr"/>
      <c r="I21" s="3" t="inlineStr"/>
      <c r="J21" s="3" t="inlineStr"/>
    </row>
    <row r="22">
      <c r="A22" s="2" t="inlineStr">
        <is>
          <t>DEF-21</t>
        </is>
      </c>
      <c r="B22" s="3" t="inlineStr"/>
      <c r="C22" s="2">
        <f>IF(B22="","",IFERROR(INDEX(UAT!$B$2:$B$48,MATCH(B22,UAT!$A$2:$A$48,0)),"not a UAT row"))</f>
        <v/>
      </c>
      <c r="D22" s="3" t="inlineStr"/>
      <c r="E22" s="3" t="inlineStr"/>
      <c r="F22" s="3" t="inlineStr"/>
      <c r="G22" s="3" t="inlineStr"/>
      <c r="H22" s="3" t="inlineStr"/>
      <c r="I22" s="3" t="inlineStr"/>
      <c r="J22" s="3" t="inlineStr"/>
    </row>
    <row r="23">
      <c r="A23" s="2" t="inlineStr">
        <is>
          <t>DEF-22</t>
        </is>
      </c>
      <c r="B23" s="3" t="inlineStr"/>
      <c r="C23" s="2">
        <f>IF(B23="","",IFERROR(INDEX(UAT!$B$2:$B$48,MATCH(B23,UAT!$A$2:$A$48,0)),"not a UAT row"))</f>
        <v/>
      </c>
      <c r="D23" s="3" t="inlineStr"/>
      <c r="E23" s="3" t="inlineStr"/>
      <c r="F23" s="3" t="inlineStr"/>
      <c r="G23" s="3" t="inlineStr"/>
      <c r="H23" s="3" t="inlineStr"/>
      <c r="I23" s="3" t="inlineStr"/>
      <c r="J23" s="3" t="inlineStr"/>
    </row>
    <row r="24">
      <c r="A24" s="2" t="inlineStr">
        <is>
          <t>DEF-23</t>
        </is>
      </c>
      <c r="B24" s="3" t="inlineStr"/>
      <c r="C24" s="2">
        <f>IF(B24="","",IFERROR(INDEX(UAT!$B$2:$B$48,MATCH(B24,UAT!$A$2:$A$48,0)),"not a UAT row"))</f>
        <v/>
      </c>
      <c r="D24" s="3" t="inlineStr"/>
      <c r="E24" s="3" t="inlineStr"/>
      <c r="F24" s="3" t="inlineStr"/>
      <c r="G24" s="3" t="inlineStr"/>
      <c r="H24" s="3" t="inlineStr"/>
      <c r="I24" s="3" t="inlineStr"/>
      <c r="J24" s="3" t="inlineStr"/>
    </row>
    <row r="25">
      <c r="A25" s="2" t="inlineStr">
        <is>
          <t>DEF-24</t>
        </is>
      </c>
      <c r="B25" s="3" t="inlineStr"/>
      <c r="C25" s="2">
        <f>IF(B25="","",IFERROR(INDEX(UAT!$B$2:$B$48,MATCH(B25,UAT!$A$2:$A$48,0)),"not a UAT row"))</f>
        <v/>
      </c>
      <c r="D25" s="3" t="inlineStr"/>
      <c r="E25" s="3" t="inlineStr"/>
      <c r="F25" s="3" t="inlineStr"/>
      <c r="G25" s="3" t="inlineStr"/>
      <c r="H25" s="3" t="inlineStr"/>
      <c r="I25" s="3" t="inlineStr"/>
      <c r="J25" s="3" t="inlineStr"/>
    </row>
    <row r="26">
      <c r="A26" s="2" t="inlineStr">
        <is>
          <t>DEF-25</t>
        </is>
      </c>
      <c r="B26" s="3" t="inlineStr"/>
      <c r="C26" s="2">
        <f>IF(B26="","",IFERROR(INDEX(UAT!$B$2:$B$48,MATCH(B26,UAT!$A$2:$A$48,0)),"not a UAT row"))</f>
        <v/>
      </c>
      <c r="D26" s="3" t="inlineStr"/>
      <c r="E26" s="3" t="inlineStr"/>
      <c r="F26" s="3" t="inlineStr"/>
      <c r="G26" s="3" t="inlineStr"/>
      <c r="H26" s="3" t="inlineStr"/>
      <c r="I26" s="3" t="inlineStr"/>
      <c r="J26" s="3" t="inlineStr"/>
    </row>
    <row r="27">
      <c r="A27" s="2" t="inlineStr">
        <is>
          <t>DEF-26</t>
        </is>
      </c>
      <c r="B27" s="3" t="inlineStr"/>
      <c r="C27" s="2">
        <f>IF(B27="","",IFERROR(INDEX(UAT!$B$2:$B$48,MATCH(B27,UAT!$A$2:$A$48,0)),"not a UAT row"))</f>
        <v/>
      </c>
      <c r="D27" s="3" t="inlineStr"/>
      <c r="E27" s="3" t="inlineStr"/>
      <c r="F27" s="3" t="inlineStr"/>
      <c r="G27" s="3" t="inlineStr"/>
      <c r="H27" s="3" t="inlineStr"/>
      <c r="I27" s="3" t="inlineStr"/>
      <c r="J27" s="3" t="inlineStr"/>
    </row>
    <row r="28">
      <c r="A28" s="2" t="inlineStr">
        <is>
          <t>DEF-27</t>
        </is>
      </c>
      <c r="B28" s="3" t="inlineStr"/>
      <c r="C28" s="2">
        <f>IF(B28="","",IFERROR(INDEX(UAT!$B$2:$B$48,MATCH(B28,UAT!$A$2:$A$48,0)),"not a UAT row"))</f>
        <v/>
      </c>
      <c r="D28" s="3" t="inlineStr"/>
      <c r="E28" s="3" t="inlineStr"/>
      <c r="F28" s="3" t="inlineStr"/>
      <c r="G28" s="3" t="inlineStr"/>
      <c r="H28" s="3" t="inlineStr"/>
      <c r="I28" s="3" t="inlineStr"/>
      <c r="J28" s="3" t="inlineStr"/>
    </row>
    <row r="29">
      <c r="A29" s="2" t="inlineStr">
        <is>
          <t>DEF-28</t>
        </is>
      </c>
      <c r="B29" s="3" t="inlineStr"/>
      <c r="C29" s="2">
        <f>IF(B29="","",IFERROR(INDEX(UAT!$B$2:$B$48,MATCH(B29,UAT!$A$2:$A$48,0)),"not a UAT row"))</f>
        <v/>
      </c>
      <c r="D29" s="3" t="inlineStr"/>
      <c r="E29" s="3" t="inlineStr"/>
      <c r="F29" s="3" t="inlineStr"/>
      <c r="G29" s="3" t="inlineStr"/>
      <c r="H29" s="3" t="inlineStr"/>
      <c r="I29" s="3" t="inlineStr"/>
      <c r="J29" s="3" t="inlineStr"/>
    </row>
    <row r="30">
      <c r="A30" s="2" t="inlineStr">
        <is>
          <t>DEF-29</t>
        </is>
      </c>
      <c r="B30" s="3" t="inlineStr"/>
      <c r="C30" s="2">
        <f>IF(B30="","",IFERROR(INDEX(UAT!$B$2:$B$48,MATCH(B30,UAT!$A$2:$A$48,0)),"not a UAT row"))</f>
        <v/>
      </c>
      <c r="D30" s="3" t="inlineStr"/>
      <c r="E30" s="3" t="inlineStr"/>
      <c r="F30" s="3" t="inlineStr"/>
      <c r="G30" s="3" t="inlineStr"/>
      <c r="H30" s="3" t="inlineStr"/>
      <c r="I30" s="3" t="inlineStr"/>
      <c r="J30" s="3" t="inlineStr"/>
    </row>
    <row r="31">
      <c r="A31" s="2" t="inlineStr">
        <is>
          <t>DEF-30</t>
        </is>
      </c>
      <c r="B31" s="3" t="inlineStr"/>
      <c r="C31" s="2">
        <f>IF(B31="","",IFERROR(INDEX(UAT!$B$2:$B$48,MATCH(B31,UAT!$A$2:$A$48,0)),"not a UAT row"))</f>
        <v/>
      </c>
      <c r="D31" s="3" t="inlineStr"/>
      <c r="E31" s="3" t="inlineStr"/>
      <c r="F31" s="3" t="inlineStr"/>
      <c r="G31" s="3" t="inlineStr"/>
      <c r="H31" s="3" t="inlineStr"/>
      <c r="I31" s="3" t="inlineStr"/>
      <c r="J31" s="3" t="inlineStr"/>
    </row>
  </sheetData>
  <dataValidations count="3">
    <dataValidation sqref="B2:B31" showDropDown="0" showInputMessage="0" showErrorMessage="1" allowBlank="1" errorTitle="UAT row" error="Choose from the list." type="list">
      <formula1>=UAT!$A$2:$A$48</formula1>
    </dataValidation>
    <dataValidation sqref="D2:D31" showDropDown="0" showInputMessage="0" showErrorMessage="1" allowBlank="1" errorTitle="Severity" error="Choose from the list." type="list">
      <formula1>"1,2,3"</formula1>
    </dataValidation>
    <dataValidation sqref="H2:H31" showDropDown="0" showInputMessage="0" showErrorMessage="1" allowBlank="1" errorTitle="Status" error="Choose from the list." type="list">
      <formula1>"Open,Fixed,Retested,Closed"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0" customWidth="1" min="2" max="2"/>
    <col width="18" customWidth="1" min="3" max="3"/>
  </cols>
  <sheetData>
    <row r="1">
      <c r="A1" s="1" t="inlineStr">
        <is>
          <t>Date</t>
        </is>
      </c>
      <c r="B1" s="1" t="inlineStr">
        <is>
          <t>Change</t>
        </is>
      </c>
      <c r="C1" s="1" t="inlineStr">
        <is>
          <t>By (role)</t>
        </is>
      </c>
    </row>
    <row r="2">
      <c r="A2" s="2" t="inlineStr">
        <is>
          <t>2026-09-29</t>
        </is>
      </c>
      <c r="B2" s="2" t="inlineStr">
        <is>
          <t>First version, generated from three stories</t>
        </is>
      </c>
      <c r="C2" s="2" t="inlineStr">
        <is>
          <t>Product owner</t>
        </is>
      </c>
    </row>
    <row r="3">
      <c r="A3" s="2" t="inlineStr">
        <is>
          <t>2026-09-30</t>
        </is>
      </c>
      <c r="B3" s="2" t="inlineStr">
        <is>
          <t>Rebuilt on the state model: six stories, every error path a refused move</t>
        </is>
      </c>
      <c r="C3" s="2" t="inlineStr">
        <is>
          <t>Product owner</t>
        </is>
      </c>
    </row>
    <row r="4">
      <c r="A4" s="2" t="inlineStr">
        <is>
          <t>2026-09-30</t>
        </is>
      </c>
      <c r="B4" s="2" t="inlineStr">
        <is>
          <t>Every row carries its state transition and rule; map steps checked (second read)</t>
        </is>
      </c>
      <c r="C4" s="2" t="inlineStr">
        <is>
          <t>Product owner</t>
        </is>
      </c>
    </row>
    <row r="5">
      <c r="A5" s="2" t="inlineStr">
        <is>
          <t>2026-09-30</t>
        </is>
      </c>
      <c r="B5" s="2" t="inlineStr">
        <is>
          <t>B2B receivables: an invoice per trip before dispatch, the credit hold, oldest-first allocation, part credit notes, returns; the sales-invoice and sale-status stories</t>
        </is>
      </c>
      <c r="C5" s="2" t="inlineStr">
        <is>
          <t>Product owner</t>
        </is>
      </c>
    </row>
    <row r="6">
      <c r="A6" s="2" t="inlineStr">
        <is>
          <t>2026-09-30</t>
        </is>
      </c>
      <c r="B6" s="2" t="inlineStr">
        <is>
          <t>The draft stock form (D15); the trip Issued state; partial receipts and issues; the material-request story; purchase-order scenarios in the real sequence</t>
        </is>
      </c>
      <c r="C6" s="2" t="inlineStr">
        <is>
          <t>Product owner</t>
        </is>
      </c>
    </row>
    <row r="7">
      <c r="A7" s="2" t="inlineStr">
        <is>
          <t>2026-09-30</t>
        </is>
      </c>
      <c r="B7" s="2" t="inlineStr">
        <is>
          <t>Map steps per row; the Test data and Defects sheets; open severity 1 defects on Sign-off; the tester role suggested</t>
        </is>
      </c>
      <c r="C7" s="2" t="inlineStr">
        <is>
          <t>Product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2026-10-01T04:55:29Z</dcterms:created>
  <dcterms:modified xmlns:dcterms="http://purl.org/dc/terms/" xmlns:xsi="http://www.w3.org/2001/XMLSchema-instance" xsi:type="dcterms:W3CDTF">2026-10-01T04:55:29Z</dcterms:modified>
</cp:coreProperties>
</file>